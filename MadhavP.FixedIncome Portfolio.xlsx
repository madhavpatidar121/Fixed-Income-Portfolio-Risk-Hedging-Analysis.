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202300"/>
  <mc:AlternateContent xmlns:mc="http://schemas.openxmlformats.org/markup-compatibility/2006">
    <mc:Choice Requires="x15">
      <x15ac:absPath xmlns:x15ac="http://schemas.microsoft.com/office/spreadsheetml/2010/11/ac" url="/Users/duhitanewalkar/Downloads/"/>
    </mc:Choice>
  </mc:AlternateContent>
  <xr:revisionPtr revIDLastSave="0" documentId="13_ncr:1_{80A8A801-52C9-554A-AEC6-C70A2CF7AA14}" xr6:coauthVersionLast="47" xr6:coauthVersionMax="47" xr10:uidLastSave="{00000000-0000-0000-0000-000000000000}"/>
  <bookViews>
    <workbookView xWindow="0" yWindow="0" windowWidth="28800" windowHeight="18000" xr2:uid="{AFCC008C-A101-4C3E-ABB1-6AE08F14EAB4}"/>
  </bookViews>
  <sheets>
    <sheet name="Portfolio" sheetId="1" r:id="rId1"/>
    <sheet name="Userbonds" sheetId="2" r:id="rId2"/>
    <sheet name="Part 1 - Portfolio" sheetId="3" r:id="rId3"/>
    <sheet name="Part 2 - Hedges" sheetId="4" r:id="rId4"/>
    <sheet name="Part 3 - Shocks" sheetId="5" r:id="rId5"/>
    <sheet name="Part 4 - Revalued" sheetId="6" r:id="rId6"/>
    <sheet name="Part 5 -Questions" sheetId="7" r:id="rId7"/>
  </sheets>
  <externalReferences>
    <externalReference r:id="rId8"/>
    <externalReference r:id="rId9"/>
  </externalReferences>
  <definedNames>
    <definedName name="_xlnm._FilterDatabase" localSheetId="0" hidden="1">Portfolio!$H$2:$U$2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 i="6" l="1"/>
  <c r="D7" i="6"/>
  <c r="E7" i="6"/>
  <c r="F7" i="6"/>
  <c r="G7" i="6"/>
  <c r="H7" i="6"/>
  <c r="I7" i="6"/>
  <c r="J7" i="6"/>
  <c r="K7" i="6"/>
  <c r="L7" i="6"/>
  <c r="B7" i="6"/>
  <c r="C6" i="6"/>
  <c r="D6" i="6"/>
  <c r="E6" i="6"/>
  <c r="F6" i="6"/>
  <c r="G6" i="6"/>
  <c r="H6" i="6"/>
  <c r="I6" i="6"/>
  <c r="J6" i="6"/>
  <c r="K6" i="6"/>
  <c r="L6" i="6"/>
  <c r="B6" i="6"/>
  <c r="D49" i="5" a="1"/>
  <c r="D49" i="5" l="1"/>
  <c r="D50" i="5" a="1"/>
  <c r="D50" i="5"/>
  <c r="D51" i="5" a="1"/>
  <c r="D51" i="5"/>
  <c r="D52" i="5" a="1"/>
  <c r="D52" i="5"/>
  <c r="D53" i="5" a="1"/>
  <c r="D53" i="5"/>
  <c r="D54" i="5" a="1"/>
  <c r="D54" i="5"/>
  <c r="D55" i="5" a="1"/>
  <c r="D55" i="5"/>
  <c r="D56" i="5" a="1"/>
  <c r="D56" i="5"/>
  <c r="D57" i="5" a="1"/>
  <c r="D57" i="5"/>
  <c r="D48" i="5" a="1"/>
  <c r="D48" i="5"/>
  <c r="C48" i="5"/>
  <c r="C49" i="5"/>
  <c r="C50" i="5"/>
  <c r="C51" i="5"/>
  <c r="C52" i="5"/>
  <c r="C53" i="5"/>
  <c r="C54" i="5"/>
  <c r="C55" i="5"/>
  <c r="C56" i="5"/>
  <c r="C57" i="5"/>
  <c r="C47" i="5"/>
  <c r="B48" i="5"/>
  <c r="B49" i="5"/>
  <c r="B50" i="5"/>
  <c r="B51" i="5"/>
  <c r="B52" i="5"/>
  <c r="B53" i="5"/>
  <c r="B54" i="5"/>
  <c r="B55" i="5"/>
  <c r="B56" i="5"/>
  <c r="B57" i="5"/>
  <c r="B47" i="5"/>
  <c r="B4" i="5"/>
  <c r="C4" i="5"/>
  <c r="D4" i="5"/>
  <c r="E4" i="5"/>
  <c r="F4" i="5"/>
  <c r="G4" i="5"/>
  <c r="H4" i="5"/>
  <c r="I4" i="5"/>
  <c r="J4" i="5"/>
  <c r="K4" i="5"/>
  <c r="L4" i="5"/>
  <c r="A11" i="5"/>
  <c r="A12" i="5"/>
  <c r="A13" i="5"/>
  <c r="A14" i="5"/>
  <c r="A15" i="5"/>
  <c r="A16" i="5"/>
  <c r="A17" i="5"/>
  <c r="A18" i="5"/>
  <c r="A19" i="5"/>
  <c r="A20" i="5"/>
  <c r="A21" i="5"/>
  <c r="A22" i="5"/>
  <c r="A23" i="5"/>
  <c r="A24" i="5"/>
  <c r="A25" i="5"/>
  <c r="A26" i="5"/>
  <c r="A27" i="5"/>
  <c r="A28" i="5"/>
  <c r="A29" i="5"/>
  <c r="A30" i="5"/>
  <c r="A31" i="5"/>
  <c r="A32" i="5"/>
  <c r="A33" i="5"/>
  <c r="A34" i="5"/>
  <c r="A35" i="5"/>
  <c r="A36" i="5"/>
  <c r="A37" i="5"/>
  <c r="A38" i="5"/>
  <c r="A39" i="5"/>
  <c r="A40" i="5"/>
  <c r="K14" i="4"/>
  <c r="D47" i="5" a="1"/>
  <c r="C11" i="5" a="1"/>
  <c r="J6" i="5" a="1"/>
  <c r="J5" i="5" a="1"/>
  <c r="K6" i="5" a="1"/>
  <c r="K5" i="5" a="1"/>
  <c r="L6" i="5" a="1"/>
  <c r="L5" i="5" a="1"/>
  <c r="B6" i="5" a="1"/>
  <c r="B5" i="5" a="1"/>
  <c r="E6" i="5" a="1"/>
  <c r="E5" i="5" a="1"/>
  <c r="F6" i="5" a="1"/>
  <c r="F5" i="5" a="1"/>
  <c r="H6" i="5" a="1"/>
  <c r="H5" i="5" a="1"/>
  <c r="C6" i="5" a="1"/>
  <c r="C5" i="5" a="1"/>
  <c r="D6" i="5" a="1"/>
  <c r="D5" i="5" a="1"/>
  <c r="G6" i="5" a="1"/>
  <c r="G5" i="5" a="1"/>
  <c r="I6" i="5" a="1"/>
  <c r="I5" i="5" a="1"/>
  <c r="C14" i="4" a="1"/>
  <c r="D47" i="5" l="1"/>
  <c r="C11" i="5"/>
  <c r="I5" i="5"/>
  <c r="I6" i="5"/>
  <c r="G5" i="5"/>
  <c r="G6" i="5"/>
  <c r="D5" i="5"/>
  <c r="D6" i="5"/>
  <c r="C5" i="5"/>
  <c r="C6" i="5"/>
  <c r="H5" i="5"/>
  <c r="H6" i="5"/>
  <c r="F5" i="5"/>
  <c r="F6" i="5"/>
  <c r="E5" i="5"/>
  <c r="E6" i="5"/>
  <c r="B5" i="5"/>
  <c r="B6" i="5"/>
  <c r="L5" i="5"/>
  <c r="L6" i="5"/>
  <c r="K5" i="5"/>
  <c r="K6" i="5"/>
  <c r="J5" i="5"/>
  <c r="J6" i="5"/>
  <c r="C14" i="4"/>
  <c r="B7" i="5" a="1"/>
  <c r="D14" i="4" a="1"/>
  <c r="B7" i="5" l="1"/>
  <c r="D14" i="4"/>
  <c r="K11" i="4"/>
  <c r="B11" i="5" a="1"/>
  <c r="B13" i="5" a="1"/>
  <c r="B27" i="5" a="1"/>
  <c r="B26" i="5" a="1"/>
  <c r="B25" i="5" a="1"/>
  <c r="B24" i="5" a="1"/>
  <c r="B23" i="5" a="1"/>
  <c r="B22" i="5" a="1"/>
  <c r="B21" i="5" a="1"/>
  <c r="B20" i="5" a="1"/>
  <c r="B19" i="5" a="1"/>
  <c r="B18" i="5" a="1"/>
  <c r="B17" i="5" a="1"/>
  <c r="B16" i="5" a="1"/>
  <c r="B31" i="5" a="1"/>
  <c r="B15" i="5" a="1"/>
  <c r="B30" i="5" a="1"/>
  <c r="B14" i="5" a="1"/>
  <c r="B29" i="5" a="1"/>
  <c r="B28" i="5" a="1"/>
  <c r="B12" i="5" a="1"/>
  <c r="B38" i="5" a="1"/>
  <c r="B35" i="5" a="1"/>
  <c r="B33" i="5" a="1"/>
  <c r="B40" i="5" a="1"/>
  <c r="B39" i="5" a="1"/>
  <c r="B37" i="5" a="1"/>
  <c r="B36" i="5" a="1"/>
  <c r="B34" i="5" a="1"/>
  <c r="B32" i="5" a="1"/>
  <c r="H36" i="5" a="1"/>
  <c r="L34" i="5" a="1"/>
  <c r="G31" i="5" a="1"/>
  <c r="E36" i="5" a="1"/>
  <c r="F33" i="5" a="1"/>
  <c r="I31" i="5" a="1"/>
  <c r="F25" i="5" a="1"/>
  <c r="F36" i="5" a="1"/>
  <c r="J34" i="5" a="1"/>
  <c r="E33" i="5" a="1"/>
  <c r="J31" i="5" a="1"/>
  <c r="D30" i="5" a="1"/>
  <c r="K29" i="5" a="1"/>
  <c r="G28" i="5" a="1"/>
  <c r="L26" i="5" a="1"/>
  <c r="J39" i="5" a="1"/>
  <c r="I39" i="5" a="1"/>
  <c r="H39" i="5" a="1"/>
  <c r="G39" i="5" a="1"/>
  <c r="D38" i="5" a="1"/>
  <c r="K18" i="5" a="1"/>
  <c r="G36" i="5" a="1"/>
  <c r="K34" i="5" a="1"/>
  <c r="I34" i="5" a="1"/>
  <c r="D33" i="5" a="1"/>
  <c r="C33" i="5" a="1"/>
  <c r="H31" i="5" a="1"/>
  <c r="C30" i="5" a="1"/>
  <c r="H28" i="5" a="1"/>
  <c r="E28" i="5" a="1"/>
  <c r="K26" i="5" a="1"/>
  <c r="E25" i="5" a="1"/>
  <c r="J23" i="5" a="1"/>
  <c r="I23" i="5" a="1"/>
  <c r="C22" i="5" a="1"/>
  <c r="C38" i="5" a="1"/>
  <c r="G20" i="5" a="1"/>
  <c r="L37" i="5" a="1"/>
  <c r="K37" i="5" a="1"/>
  <c r="E17" i="5" a="1"/>
  <c r="D36" i="5" a="1"/>
  <c r="H20" i="5" a="1"/>
  <c r="L18" i="5" a="1"/>
  <c r="F17" i="5" a="1"/>
  <c r="J15" i="5" a="1"/>
  <c r="D14" i="5" a="1"/>
  <c r="H12" i="5" a="1"/>
  <c r="D22" i="5" a="1"/>
  <c r="C14" i="5" a="1"/>
  <c r="G12" i="5" a="1"/>
  <c r="I15" i="5" a="1"/>
  <c r="L29" i="5" a="1"/>
  <c r="F28" i="5" a="1"/>
  <c r="J26" i="5" a="1"/>
  <c r="D25" i="5" a="1"/>
  <c r="H23" i="5" a="1"/>
  <c r="L21" i="5" a="1"/>
  <c r="F20" i="5" a="1"/>
  <c r="J18" i="5" a="1"/>
  <c r="D17" i="5" a="1"/>
  <c r="F12" i="5" a="1"/>
  <c r="H15" i="5" a="1"/>
  <c r="L13" i="5" a="1"/>
  <c r="I18" i="5" a="1"/>
  <c r="K13" i="5" a="1"/>
  <c r="E12" i="5" a="1"/>
  <c r="C17" i="5" a="1"/>
  <c r="G15" i="5" a="1"/>
  <c r="J21" i="5" a="1"/>
  <c r="D20" i="5" a="1"/>
  <c r="L16" i="5" a="1"/>
  <c r="F15" i="5" a="1"/>
  <c r="J13" i="5" a="1"/>
  <c r="D12" i="5" a="1"/>
  <c r="F39" i="5" a="1"/>
  <c r="L32" i="5" a="1"/>
  <c r="J29" i="5" a="1"/>
  <c r="D28" i="5" a="1"/>
  <c r="H26" i="5" a="1"/>
  <c r="L24" i="5" a="1"/>
  <c r="F23" i="5" a="1"/>
  <c r="H18" i="5" a="1"/>
  <c r="C12" i="5" a="1"/>
  <c r="K16" i="5" a="1"/>
  <c r="I13" i="5" a="1"/>
  <c r="G23" i="5" a="1"/>
  <c r="J37" i="5" a="1"/>
  <c r="C36" i="5" a="1"/>
  <c r="G26" i="5" a="1"/>
  <c r="D15" i="5" a="1"/>
  <c r="L11" i="5" a="1"/>
  <c r="D23" i="5" a="1"/>
  <c r="H21" i="5" a="1"/>
  <c r="L19" i="5" a="1"/>
  <c r="F18" i="5" a="1"/>
  <c r="J16" i="5" a="1"/>
  <c r="H13" i="5" a="1"/>
  <c r="J40" i="5" a="1"/>
  <c r="K11" i="5" a="1"/>
  <c r="H34" i="5" a="1"/>
  <c r="F31" i="5" a="1"/>
  <c r="E39" i="5" a="1"/>
  <c r="G34" i="5" a="1"/>
  <c r="E31" i="5" a="1"/>
  <c r="C28" i="5" a="1"/>
  <c r="F26" i="5" a="1"/>
  <c r="I40" i="5" a="1"/>
  <c r="I32" i="5" a="1"/>
  <c r="C15" i="5" a="1"/>
  <c r="H40" i="5" a="1"/>
  <c r="F37" i="5" a="1"/>
  <c r="D18" i="5" a="1"/>
  <c r="H16" i="5" a="1"/>
  <c r="L14" i="5" a="1"/>
  <c r="F13" i="5" a="1"/>
  <c r="J11" i="5" a="1"/>
  <c r="D39" i="5" a="1"/>
  <c r="J19" i="5" a="1"/>
  <c r="J32" i="5" a="1"/>
  <c r="H29" i="5" a="1"/>
  <c r="C23" i="5" a="1"/>
  <c r="E29" i="5" a="1"/>
  <c r="K21" i="5" a="1"/>
  <c r="K40" i="5" a="1"/>
  <c r="I37" i="5" a="1"/>
  <c r="K32" i="5" a="1"/>
  <c r="I29" i="5" a="1"/>
  <c r="E37" i="5" a="1"/>
  <c r="J30" i="5" a="1"/>
  <c r="K38" i="5" a="1"/>
  <c r="C20" i="5" a="1"/>
  <c r="L35" i="5" a="1"/>
  <c r="D31" i="5" a="1"/>
  <c r="G37" i="5" a="1"/>
  <c r="K27" i="5" a="1"/>
  <c r="G40" i="5" a="1"/>
  <c r="I26" i="5" a="1"/>
  <c r="E20" i="5" a="1"/>
  <c r="E23" i="5" a="1"/>
  <c r="L22" i="5" a="1"/>
  <c r="L27" i="5" a="1"/>
  <c r="J24" i="5" a="1"/>
  <c r="C39" i="5" a="1"/>
  <c r="K35" i="5" a="1"/>
  <c r="E34" i="5" a="1"/>
  <c r="C31" i="5" a="1"/>
  <c r="G29" i="5" a="1"/>
  <c r="E26" i="5" a="1"/>
  <c r="I24" i="5" a="1"/>
  <c r="F21" i="5" a="1"/>
  <c r="K24" i="5" a="1"/>
  <c r="F34" i="5" a="1"/>
  <c r="I16" i="5" a="1"/>
  <c r="H24" i="5" a="1"/>
  <c r="J14" i="5" a="1"/>
  <c r="C25" i="5" a="1"/>
  <c r="G18" i="5" a="1"/>
  <c r="E15" i="5" a="1"/>
  <c r="I35" i="5" a="1"/>
  <c r="K14" i="5" a="1"/>
  <c r="E40" i="5" a="1"/>
  <c r="H37" i="5" a="1"/>
  <c r="G21" i="5" a="1"/>
  <c r="K19" i="5" a="1"/>
  <c r="L30" i="5" a="1"/>
  <c r="J27" i="5" a="1"/>
  <c r="I19" i="5" a="1"/>
  <c r="I14" i="5" a="1"/>
  <c r="L40" i="5" a="1"/>
  <c r="G13" i="5" a="1"/>
  <c r="L38" i="5" a="1"/>
  <c r="C34" i="5" a="1"/>
  <c r="I27" i="5" a="1"/>
  <c r="G24" i="5" a="1"/>
  <c r="E21" i="5" a="1"/>
  <c r="I11" i="5" a="1"/>
  <c r="F40" i="5" a="1"/>
  <c r="D37" i="5" a="1"/>
  <c r="H35" i="5" a="1"/>
  <c r="F32" i="5" a="1"/>
  <c r="H27" i="5" a="1"/>
  <c r="D21" i="5" a="1"/>
  <c r="L17" i="5" a="1"/>
  <c r="H11" i="5" a="1"/>
  <c r="I38" i="5" a="1"/>
  <c r="K33" i="5" a="1"/>
  <c r="E32" i="5" a="1"/>
  <c r="I30" i="5" a="1"/>
  <c r="G27" i="5" a="1"/>
  <c r="E24" i="5" a="1"/>
  <c r="G19" i="5" a="1"/>
  <c r="C13" i="5" a="1"/>
  <c r="H38" i="5" a="1"/>
  <c r="J33" i="5" a="1"/>
  <c r="H30" i="5" a="1"/>
  <c r="F27" i="5" a="1"/>
  <c r="D24" i="5" a="1"/>
  <c r="L20" i="5" a="1"/>
  <c r="J17" i="5" a="1"/>
  <c r="H14" i="5" a="1"/>
  <c r="L12" i="5" a="1"/>
  <c r="G38" i="5" a="1"/>
  <c r="E35" i="5" a="1"/>
  <c r="C32" i="5" a="1"/>
  <c r="K28" i="5" a="1"/>
  <c r="I25" i="5" a="1"/>
  <c r="K20" i="5" a="1"/>
  <c r="I17" i="5" a="1"/>
  <c r="K12" i="5" a="1"/>
  <c r="L39" i="5" a="1"/>
  <c r="F38" i="5" a="1"/>
  <c r="J36" i="5" a="1"/>
  <c r="D35" i="5" a="1"/>
  <c r="H33" i="5" a="1"/>
  <c r="L31" i="5" a="1"/>
  <c r="F30" i="5" a="1"/>
  <c r="J28" i="5" a="1"/>
  <c r="D27" i="5" a="1"/>
  <c r="H25" i="5" a="1"/>
  <c r="L23" i="5" a="1"/>
  <c r="F22" i="5" a="1"/>
  <c r="J20" i="5" a="1"/>
  <c r="D19" i="5" a="1"/>
  <c r="H17" i="5" a="1"/>
  <c r="L15" i="5" a="1"/>
  <c r="F14" i="5" a="1"/>
  <c r="J12" i="5" a="1"/>
  <c r="D11" i="5" a="1"/>
  <c r="G32" i="5" a="1"/>
  <c r="G16" i="5" a="1"/>
  <c r="D29" i="5" a="1"/>
  <c r="F16" i="5" a="1"/>
  <c r="G35" i="5" a="1"/>
  <c r="E16" i="5" a="1"/>
  <c r="L36" i="5" a="1"/>
  <c r="C24" i="5" a="1"/>
  <c r="I21" i="5" a="1"/>
  <c r="E18" i="5" a="1"/>
  <c r="J35" i="5" a="1"/>
  <c r="D34" i="5" a="1"/>
  <c r="H32" i="5" a="1"/>
  <c r="F29" i="5" a="1"/>
  <c r="D26" i="5" a="1"/>
  <c r="K30" i="5" a="1"/>
  <c r="C26" i="5" a="1"/>
  <c r="K22" i="5" a="1"/>
  <c r="C18" i="5" a="1"/>
  <c r="E13" i="5" a="1"/>
  <c r="J38" i="5" a="1"/>
  <c r="L33" i="5" a="1"/>
  <c r="L25" i="5" a="1"/>
  <c r="F24" i="5" a="1"/>
  <c r="J22" i="5" a="1"/>
  <c r="H19" i="5" a="1"/>
  <c r="D13" i="5" a="1"/>
  <c r="C37" i="5" a="1"/>
  <c r="C29" i="5" a="1"/>
  <c r="K25" i="5" a="1"/>
  <c r="I22" i="5" a="1"/>
  <c r="C21" i="5" a="1"/>
  <c r="K17" i="5" a="1"/>
  <c r="G11" i="5" a="1"/>
  <c r="D40" i="5" a="1"/>
  <c r="F35" i="5" a="1"/>
  <c r="D32" i="5" a="1"/>
  <c r="L28" i="5" a="1"/>
  <c r="J25" i="5" a="1"/>
  <c r="H22" i="5" a="1"/>
  <c r="F19" i="5" a="1"/>
  <c r="D16" i="5" a="1"/>
  <c r="F11" i="5" a="1"/>
  <c r="C40" i="5" a="1"/>
  <c r="K36" i="5" a="1"/>
  <c r="I33" i="5" a="1"/>
  <c r="G30" i="5" a="1"/>
  <c r="E27" i="5" a="1"/>
  <c r="G22" i="5" a="1"/>
  <c r="E19" i="5" a="1"/>
  <c r="C16" i="5" a="1"/>
  <c r="G14" i="5" a="1"/>
  <c r="E11" i="5" a="1"/>
  <c r="K39" i="5" a="1"/>
  <c r="E38" i="5" a="1"/>
  <c r="I36" i="5" a="1"/>
  <c r="C35" i="5" a="1"/>
  <c r="G33" i="5" a="1"/>
  <c r="K31" i="5" a="1"/>
  <c r="E30" i="5" a="1"/>
  <c r="I28" i="5" a="1"/>
  <c r="C27" i="5" a="1"/>
  <c r="G25" i="5" a="1"/>
  <c r="K23" i="5" a="1"/>
  <c r="E22" i="5" a="1"/>
  <c r="I20" i="5" a="1"/>
  <c r="C19" i="5" a="1"/>
  <c r="G17" i="5" a="1"/>
  <c r="K15" i="5" a="1"/>
  <c r="E14" i="5" a="1"/>
  <c r="I12" i="5" a="1"/>
  <c r="C11" i="4" a="1"/>
  <c r="B11" i="5" l="1"/>
  <c r="I12" i="5"/>
  <c r="E14" i="5"/>
  <c r="K15" i="5"/>
  <c r="G17" i="5"/>
  <c r="C19" i="5"/>
  <c r="I20" i="5"/>
  <c r="E22" i="5"/>
  <c r="K23" i="5"/>
  <c r="G25" i="5"/>
  <c r="C27" i="5"/>
  <c r="I28" i="5"/>
  <c r="E30" i="5"/>
  <c r="K31" i="5"/>
  <c r="G33" i="5"/>
  <c r="C35" i="5"/>
  <c r="I36" i="5"/>
  <c r="E38" i="5"/>
  <c r="K39" i="5"/>
  <c r="E11" i="5"/>
  <c r="G14" i="5"/>
  <c r="C16" i="5"/>
  <c r="E19" i="5"/>
  <c r="G22" i="5"/>
  <c r="E27" i="5"/>
  <c r="G30" i="5"/>
  <c r="I33" i="5"/>
  <c r="K36" i="5"/>
  <c r="C40" i="5"/>
  <c r="F11" i="5"/>
  <c r="D16" i="5"/>
  <c r="F19" i="5"/>
  <c r="H22" i="5"/>
  <c r="J25" i="5"/>
  <c r="L28" i="5"/>
  <c r="D32" i="5"/>
  <c r="F35" i="5"/>
  <c r="D40" i="5"/>
  <c r="G11" i="5"/>
  <c r="K17" i="5"/>
  <c r="C21" i="5"/>
  <c r="I22" i="5"/>
  <c r="K25" i="5"/>
  <c r="C29" i="5"/>
  <c r="C37" i="5"/>
  <c r="D13" i="5"/>
  <c r="H19" i="5"/>
  <c r="J22" i="5"/>
  <c r="F24" i="5"/>
  <c r="L25" i="5"/>
  <c r="L33" i="5"/>
  <c r="J38" i="5"/>
  <c r="E13" i="5"/>
  <c r="C18" i="5"/>
  <c r="K22" i="5"/>
  <c r="C26" i="5"/>
  <c r="K30" i="5"/>
  <c r="D26" i="5"/>
  <c r="F29" i="5"/>
  <c r="H32" i="5"/>
  <c r="D34" i="5"/>
  <c r="J35" i="5"/>
  <c r="E18" i="5"/>
  <c r="I21" i="5"/>
  <c r="C24" i="5"/>
  <c r="L36" i="5"/>
  <c r="E16" i="5"/>
  <c r="G35" i="5"/>
  <c r="F16" i="5"/>
  <c r="D29" i="5"/>
  <c r="G16" i="5"/>
  <c r="G32" i="5"/>
  <c r="D11" i="5"/>
  <c r="J12" i="5"/>
  <c r="F14" i="5"/>
  <c r="L15" i="5"/>
  <c r="H17" i="5"/>
  <c r="D19" i="5"/>
  <c r="J20" i="5"/>
  <c r="F22" i="5"/>
  <c r="L23" i="5"/>
  <c r="H25" i="5"/>
  <c r="D27" i="5"/>
  <c r="J28" i="5"/>
  <c r="F30" i="5"/>
  <c r="L31" i="5"/>
  <c r="H33" i="5"/>
  <c r="D35" i="5"/>
  <c r="J36" i="5"/>
  <c r="F38" i="5"/>
  <c r="L39" i="5"/>
  <c r="K12" i="5"/>
  <c r="I17" i="5"/>
  <c r="K20" i="5"/>
  <c r="I25" i="5"/>
  <c r="K28" i="5"/>
  <c r="C32" i="5"/>
  <c r="E35" i="5"/>
  <c r="G38" i="5"/>
  <c r="L12" i="5"/>
  <c r="H14" i="5"/>
  <c r="J17" i="5"/>
  <c r="L20" i="5"/>
  <c r="D24" i="5"/>
  <c r="F27" i="5"/>
  <c r="H30" i="5"/>
  <c r="J33" i="5"/>
  <c r="H38" i="5"/>
  <c r="C13" i="5"/>
  <c r="G19" i="5"/>
  <c r="E24" i="5"/>
  <c r="G27" i="5"/>
  <c r="I30" i="5"/>
  <c r="E32" i="5"/>
  <c r="K33" i="5"/>
  <c r="I38" i="5"/>
  <c r="H11" i="5"/>
  <c r="L17" i="5"/>
  <c r="D21" i="5"/>
  <c r="H27" i="5"/>
  <c r="F32" i="5"/>
  <c r="H35" i="5"/>
  <c r="D37" i="5"/>
  <c r="F40" i="5"/>
  <c r="I11" i="5"/>
  <c r="E21" i="5"/>
  <c r="G24" i="5"/>
  <c r="I27" i="5"/>
  <c r="C34" i="5"/>
  <c r="L38" i="5"/>
  <c r="G13" i="5"/>
  <c r="L40" i="5"/>
  <c r="I14" i="5"/>
  <c r="I19" i="5"/>
  <c r="J27" i="5"/>
  <c r="L30" i="5"/>
  <c r="K19" i="5"/>
  <c r="G21" i="5"/>
  <c r="H37" i="5"/>
  <c r="E40" i="5"/>
  <c r="K14" i="5"/>
  <c r="I35" i="5"/>
  <c r="E15" i="5"/>
  <c r="G18" i="5"/>
  <c r="C25" i="5"/>
  <c r="J14" i="5"/>
  <c r="H24" i="5"/>
  <c r="I16" i="5"/>
  <c r="F34" i="5"/>
  <c r="K24" i="5"/>
  <c r="F21" i="5"/>
  <c r="I24" i="5"/>
  <c r="E26" i="5"/>
  <c r="G29" i="5"/>
  <c r="C31" i="5"/>
  <c r="E34" i="5"/>
  <c r="K35" i="5"/>
  <c r="C39" i="5"/>
  <c r="J24" i="5"/>
  <c r="L27" i="5"/>
  <c r="L22" i="5"/>
  <c r="E23" i="5"/>
  <c r="E20" i="5"/>
  <c r="I26" i="5"/>
  <c r="G40" i="5"/>
  <c r="K27" i="5"/>
  <c r="G37" i="5"/>
  <c r="D31" i="5"/>
  <c r="L35" i="5"/>
  <c r="C20" i="5"/>
  <c r="K38" i="5"/>
  <c r="J30" i="5"/>
  <c r="E37" i="5"/>
  <c r="I29" i="5"/>
  <c r="K32" i="5"/>
  <c r="I37" i="5"/>
  <c r="K40" i="5"/>
  <c r="K21" i="5"/>
  <c r="E29" i="5"/>
  <c r="C23" i="5"/>
  <c r="H29" i="5"/>
  <c r="J32" i="5"/>
  <c r="J19" i="5"/>
  <c r="D39" i="5"/>
  <c r="J11" i="5"/>
  <c r="F13" i="5"/>
  <c r="L14" i="5"/>
  <c r="H16" i="5"/>
  <c r="D18" i="5"/>
  <c r="F37" i="5"/>
  <c r="H40" i="5"/>
  <c r="C15" i="5"/>
  <c r="I32" i="5"/>
  <c r="I40" i="5"/>
  <c r="F26" i="5"/>
  <c r="C28" i="5"/>
  <c r="E31" i="5"/>
  <c r="G34" i="5"/>
  <c r="E39" i="5"/>
  <c r="F31" i="5"/>
  <c r="H34" i="5"/>
  <c r="K11" i="5"/>
  <c r="J40" i="5"/>
  <c r="H13" i="5"/>
  <c r="J16" i="5"/>
  <c r="F18" i="5"/>
  <c r="L19" i="5"/>
  <c r="H21" i="5"/>
  <c r="D23" i="5"/>
  <c r="L11" i="5"/>
  <c r="D15" i="5"/>
  <c r="G26" i="5"/>
  <c r="C36" i="5"/>
  <c r="J37" i="5"/>
  <c r="G23" i="5"/>
  <c r="I13" i="5"/>
  <c r="K16" i="5"/>
  <c r="C12" i="5"/>
  <c r="H18" i="5"/>
  <c r="F23" i="5"/>
  <c r="L24" i="5"/>
  <c r="H26" i="5"/>
  <c r="D28" i="5"/>
  <c r="J29" i="5"/>
  <c r="L32" i="5"/>
  <c r="F39" i="5"/>
  <c r="D12" i="5"/>
  <c r="J13" i="5"/>
  <c r="F15" i="5"/>
  <c r="L16" i="5"/>
  <c r="D20" i="5"/>
  <c r="J21" i="5"/>
  <c r="G15" i="5"/>
  <c r="C17" i="5"/>
  <c r="E12" i="5"/>
  <c r="K13" i="5"/>
  <c r="I18" i="5"/>
  <c r="L13" i="5"/>
  <c r="H15" i="5"/>
  <c r="F12" i="5"/>
  <c r="D17" i="5"/>
  <c r="J18" i="5"/>
  <c r="F20" i="5"/>
  <c r="L21" i="5"/>
  <c r="H23" i="5"/>
  <c r="D25" i="5"/>
  <c r="J26" i="5"/>
  <c r="F28" i="5"/>
  <c r="L29" i="5"/>
  <c r="I15" i="5"/>
  <c r="G12" i="5"/>
  <c r="C14" i="5"/>
  <c r="D22" i="5"/>
  <c r="H12" i="5"/>
  <c r="D14" i="5"/>
  <c r="J15" i="5"/>
  <c r="F17" i="5"/>
  <c r="L18" i="5"/>
  <c r="H20" i="5"/>
  <c r="D36" i="5"/>
  <c r="E17" i="5"/>
  <c r="K37" i="5"/>
  <c r="L37" i="5"/>
  <c r="G20" i="5"/>
  <c r="C38" i="5"/>
  <c r="C22" i="5"/>
  <c r="I23" i="5"/>
  <c r="J23" i="5"/>
  <c r="E25" i="5"/>
  <c r="K26" i="5"/>
  <c r="E28" i="5"/>
  <c r="H28" i="5"/>
  <c r="C30" i="5"/>
  <c r="H31" i="5"/>
  <c r="C33" i="5"/>
  <c r="D33" i="5"/>
  <c r="I34" i="5"/>
  <c r="K34" i="5"/>
  <c r="G36" i="5"/>
  <c r="K18" i="5"/>
  <c r="D38" i="5"/>
  <c r="G39" i="5"/>
  <c r="H39" i="5"/>
  <c r="I39" i="5"/>
  <c r="J39" i="5"/>
  <c r="L26" i="5"/>
  <c r="G28" i="5"/>
  <c r="K29" i="5"/>
  <c r="D30" i="5"/>
  <c r="J31" i="5"/>
  <c r="E33" i="5"/>
  <c r="J34" i="5"/>
  <c r="F36" i="5"/>
  <c r="F25" i="5"/>
  <c r="I31" i="5"/>
  <c r="F33" i="5"/>
  <c r="E36" i="5"/>
  <c r="G31" i="5"/>
  <c r="L34" i="5"/>
  <c r="H36" i="5"/>
  <c r="B32" i="5"/>
  <c r="B34" i="5"/>
  <c r="B36" i="5"/>
  <c r="B37" i="5"/>
  <c r="B39" i="5"/>
  <c r="B40" i="5"/>
  <c r="B33" i="5"/>
  <c r="B35" i="5"/>
  <c r="B38" i="5"/>
  <c r="B12" i="5"/>
  <c r="B28" i="5"/>
  <c r="B29" i="5"/>
  <c r="B14" i="5"/>
  <c r="B30" i="5"/>
  <c r="B15" i="5"/>
  <c r="B31" i="5"/>
  <c r="B16" i="5"/>
  <c r="B17" i="5"/>
  <c r="B18" i="5"/>
  <c r="B19" i="5"/>
  <c r="B20" i="5"/>
  <c r="B21" i="5"/>
  <c r="B22" i="5"/>
  <c r="B23" i="5"/>
  <c r="B24" i="5"/>
  <c r="B25" i="5"/>
  <c r="B26" i="5"/>
  <c r="B27" i="5"/>
  <c r="B13" i="5"/>
  <c r="C11" i="4"/>
  <c r="D11" i="4" a="1"/>
  <c r="F41" i="5" l="1"/>
  <c r="I41" i="5"/>
  <c r="J41" i="5"/>
  <c r="E41" i="5"/>
  <c r="L41" i="5"/>
  <c r="C41" i="5"/>
  <c r="H41" i="5"/>
  <c r="K41" i="5"/>
  <c r="D41" i="5"/>
  <c r="B41" i="5"/>
  <c r="G41" i="5"/>
  <c r="D11" i="4"/>
  <c r="K19" i="4"/>
  <c r="C19" i="4" a="1"/>
  <c r="C19" i="4" l="1"/>
  <c r="D19" i="4" a="1"/>
  <c r="D19" i="4" l="1"/>
  <c r="K18" i="4"/>
  <c r="C18" i="4" a="1"/>
  <c r="C18" i="4" l="1"/>
  <c r="D18" i="4" a="1"/>
  <c r="D18" i="4" l="1"/>
  <c r="K17" i="4"/>
  <c r="C17" i="4" a="1"/>
  <c r="C17" i="4" l="1"/>
  <c r="D17" i="4" a="1"/>
  <c r="D17" i="4" l="1"/>
  <c r="K16" i="4"/>
  <c r="C16" i="4" a="1"/>
  <c r="C16" i="4" l="1"/>
  <c r="D16" i="4" a="1"/>
  <c r="D16" i="4" l="1"/>
  <c r="K15" i="4"/>
  <c r="C15" i="4" a="1"/>
  <c r="C15" i="4" l="1"/>
  <c r="D15" i="4" a="1"/>
  <c r="D15" i="4" l="1"/>
  <c r="K13" i="4"/>
  <c r="C13" i="4" a="1"/>
  <c r="C13" i="4" l="1"/>
  <c r="D13" i="4" a="1"/>
  <c r="D13" i="4" l="1"/>
  <c r="K12" i="4"/>
  <c r="C12" i="4" a="1"/>
  <c r="C12" i="4" l="1"/>
  <c r="D12" i="4" a="1"/>
  <c r="D12" i="4" l="1"/>
  <c r="K10" i="4"/>
  <c r="C10" i="4" a="1"/>
  <c r="C10" i="4" l="1"/>
  <c r="K9" i="4"/>
  <c r="D10" i="4" a="1"/>
  <c r="C9" i="4" a="1"/>
  <c r="D10" i="4" l="1"/>
  <c r="C9" i="4"/>
  <c r="D9" i="4" a="1"/>
  <c r="D9" i="4" l="1"/>
  <c r="C4" i="4"/>
  <c r="C5" i="4" s="1"/>
  <c r="B4" i="4"/>
  <c r="B5" i="4" s="1"/>
  <c r="D4" i="4"/>
  <c r="D5" i="4" s="1"/>
  <c r="E4" i="4"/>
  <c r="E5" i="4" s="1"/>
  <c r="F4" i="4"/>
  <c r="F5" i="4" s="1"/>
  <c r="G4" i="4"/>
  <c r="G5" i="4" s="1"/>
  <c r="H4" i="4"/>
  <c r="H5" i="4" s="1"/>
  <c r="I4" i="4"/>
  <c r="I5" i="4" s="1"/>
  <c r="J4" i="4"/>
  <c r="J5" i="4" s="1"/>
  <c r="K4" i="4"/>
  <c r="K5" i="4" s="1"/>
  <c r="L4" i="4"/>
  <c r="L5" i="4" s="1"/>
  <c r="B10" i="4" a="1"/>
  <c r="B11" i="4" a="1"/>
  <c r="B12" i="4" a="1"/>
  <c r="B13" i="4" a="1"/>
  <c r="B15" i="4" a="1"/>
  <c r="B16" i="4" a="1"/>
  <c r="B17" i="4" a="1"/>
  <c r="B19" i="4" a="1"/>
  <c r="B14" i="4" a="1"/>
  <c r="B18" i="4" a="1"/>
  <c r="B9" i="4" a="1"/>
  <c r="B18" i="4" l="1"/>
  <c r="B14" i="4"/>
  <c r="B19" i="4"/>
  <c r="B17" i="4"/>
  <c r="B16" i="4"/>
  <c r="B15" i="4"/>
  <c r="B13" i="4"/>
  <c r="B12" i="4"/>
  <c r="B11" i="4"/>
  <c r="B10" i="4"/>
  <c r="B9" i="4"/>
  <c r="A5" i="3" l="1"/>
  <c r="A6" i="3"/>
  <c r="A7" i="3"/>
  <c r="A8" i="3"/>
  <c r="A9" i="3"/>
  <c r="A10" i="3"/>
  <c r="A11" i="3"/>
  <c r="A12" i="3"/>
  <c r="A13" i="3"/>
  <c r="A14" i="3"/>
  <c r="A15" i="3"/>
  <c r="A16" i="3"/>
  <c r="A17" i="3"/>
  <c r="A18" i="3"/>
  <c r="A19" i="3"/>
  <c r="A20" i="3"/>
  <c r="A21" i="3"/>
  <c r="A22" i="3"/>
  <c r="A23" i="3"/>
  <c r="A24" i="3"/>
  <c r="A25" i="3"/>
  <c r="A26" i="3"/>
  <c r="A27" i="3"/>
  <c r="A28" i="3"/>
  <c r="A29" i="3"/>
  <c r="A30" i="3"/>
  <c r="A31" i="3"/>
  <c r="A32" i="3"/>
  <c r="A33" i="3"/>
  <c r="A34" i="3"/>
  <c r="S16" i="2"/>
  <c r="S24" i="2"/>
  <c r="S25" i="2"/>
  <c r="S26" i="2"/>
  <c r="S27" i="2"/>
  <c r="S28" i="2"/>
  <c r="S29" i="2"/>
  <c r="S30" i="2"/>
  <c r="S31" i="2"/>
  <c r="S32" i="2"/>
  <c r="T4" i="2"/>
  <c r="T13" i="2"/>
  <c r="T18" i="2"/>
  <c r="T19" i="2"/>
  <c r="T20" i="2"/>
  <c r="T22" i="2"/>
  <c r="T23" i="2"/>
  <c r="T24" i="2"/>
  <c r="T25" i="2"/>
  <c r="T26" i="2"/>
  <c r="T27" i="2"/>
  <c r="T30" i="2"/>
  <c r="T31" i="2"/>
  <c r="T32" i="2"/>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L32" i="2"/>
  <c r="M32" i="2"/>
  <c r="N32" i="2"/>
  <c r="O32" i="2"/>
  <c r="P32" i="2"/>
  <c r="Q32" i="2"/>
  <c r="U32" i="2"/>
  <c r="V32" i="2"/>
  <c r="W32" i="2"/>
  <c r="Z32" i="2"/>
  <c r="U7" i="2"/>
  <c r="V7" i="2"/>
  <c r="W7" i="2"/>
  <c r="X7" i="2"/>
  <c r="Y7" i="2"/>
  <c r="U8" i="2"/>
  <c r="V8" i="2"/>
  <c r="W8" i="2"/>
  <c r="X8" i="2"/>
  <c r="Y8" i="2"/>
  <c r="U9" i="2"/>
  <c r="V9" i="2"/>
  <c r="W9" i="2"/>
  <c r="X9" i="2"/>
  <c r="Y9" i="2"/>
  <c r="U10" i="2"/>
  <c r="V10" i="2"/>
  <c r="W10" i="2"/>
  <c r="X10" i="2"/>
  <c r="Y10" i="2"/>
  <c r="L11" i="2"/>
  <c r="T11" i="2" s="1"/>
  <c r="M11" i="2"/>
  <c r="N11" i="2"/>
  <c r="O11" i="2"/>
  <c r="P11" i="2"/>
  <c r="Q11" i="2"/>
  <c r="L12" i="2"/>
  <c r="T12" i="2" s="1"/>
  <c r="M12" i="2"/>
  <c r="N12" i="2"/>
  <c r="O12" i="2"/>
  <c r="P12" i="2"/>
  <c r="Q12" i="2"/>
  <c r="L13" i="2"/>
  <c r="M13" i="2"/>
  <c r="N13" i="2"/>
  <c r="O13" i="2"/>
  <c r="P13" i="2"/>
  <c r="Q13" i="2"/>
  <c r="L14" i="2"/>
  <c r="T14" i="2" s="1"/>
  <c r="M14" i="2"/>
  <c r="N14" i="2"/>
  <c r="O14" i="2"/>
  <c r="P14" i="2"/>
  <c r="Q14" i="2"/>
  <c r="L15" i="2"/>
  <c r="T15" i="2" s="1"/>
  <c r="M15" i="2"/>
  <c r="N15" i="2"/>
  <c r="O15" i="2"/>
  <c r="P15" i="2"/>
  <c r="Q15" i="2"/>
  <c r="L16" i="2"/>
  <c r="T16" i="2" s="1"/>
  <c r="M16" i="2"/>
  <c r="N16" i="2"/>
  <c r="O16" i="2"/>
  <c r="P16" i="2"/>
  <c r="Q16" i="2"/>
  <c r="L17" i="2"/>
  <c r="T17" i="2" s="1"/>
  <c r="M17" i="2"/>
  <c r="N17" i="2"/>
  <c r="O17" i="2"/>
  <c r="P17" i="2"/>
  <c r="Q17" i="2"/>
  <c r="L18" i="2"/>
  <c r="M18" i="2"/>
  <c r="N18" i="2"/>
  <c r="O18" i="2"/>
  <c r="P18" i="2"/>
  <c r="Q18" i="2"/>
  <c r="L19" i="2"/>
  <c r="M19" i="2"/>
  <c r="N19" i="2"/>
  <c r="O19" i="2"/>
  <c r="P19" i="2"/>
  <c r="Q19" i="2"/>
  <c r="L20" i="2"/>
  <c r="M20" i="2"/>
  <c r="N20" i="2"/>
  <c r="O20" i="2"/>
  <c r="P20" i="2"/>
  <c r="Q20" i="2"/>
  <c r="U11" i="2"/>
  <c r="V11" i="2"/>
  <c r="W11" i="2"/>
  <c r="U12" i="2"/>
  <c r="V12" i="2"/>
  <c r="W12" i="2"/>
  <c r="U13" i="2"/>
  <c r="V13" i="2"/>
  <c r="W13" i="2"/>
  <c r="U14" i="2"/>
  <c r="V14" i="2"/>
  <c r="W14" i="2"/>
  <c r="U15" i="2"/>
  <c r="V15" i="2"/>
  <c r="W15" i="2"/>
  <c r="U16" i="2"/>
  <c r="V16" i="2"/>
  <c r="W16" i="2"/>
  <c r="U17" i="2"/>
  <c r="V17" i="2"/>
  <c r="W17" i="2"/>
  <c r="U18" i="2"/>
  <c r="V18" i="2"/>
  <c r="W18" i="2"/>
  <c r="U19" i="2"/>
  <c r="V19" i="2"/>
  <c r="W19" i="2"/>
  <c r="U20" i="2"/>
  <c r="V20" i="2"/>
  <c r="W20" i="2"/>
  <c r="Z11" i="2"/>
  <c r="Z12" i="2"/>
  <c r="Z13" i="2"/>
  <c r="Z14" i="2"/>
  <c r="Z15" i="2"/>
  <c r="Z16" i="2"/>
  <c r="Z17" i="2"/>
  <c r="Z18" i="2"/>
  <c r="Z19" i="2"/>
  <c r="Z20" i="2"/>
  <c r="L21" i="2"/>
  <c r="T21" i="2" s="1"/>
  <c r="M21" i="2"/>
  <c r="N21" i="2"/>
  <c r="O21" i="2"/>
  <c r="L22" i="2"/>
  <c r="M22" i="2"/>
  <c r="N22" i="2"/>
  <c r="O22" i="2"/>
  <c r="L23" i="2"/>
  <c r="M23" i="2"/>
  <c r="N23" i="2"/>
  <c r="O23" i="2"/>
  <c r="L24" i="2"/>
  <c r="M24" i="2"/>
  <c r="N24" i="2"/>
  <c r="O24" i="2"/>
  <c r="L25" i="2"/>
  <c r="M25" i="2"/>
  <c r="N25" i="2"/>
  <c r="O25" i="2"/>
  <c r="L26" i="2"/>
  <c r="M26" i="2"/>
  <c r="N26" i="2"/>
  <c r="O26" i="2"/>
  <c r="L27" i="2"/>
  <c r="M27" i="2"/>
  <c r="N27" i="2"/>
  <c r="O27" i="2"/>
  <c r="L28" i="2"/>
  <c r="T28" i="2" s="1"/>
  <c r="M28" i="2"/>
  <c r="N28" i="2"/>
  <c r="O28" i="2"/>
  <c r="L29" i="2"/>
  <c r="T29" i="2" s="1"/>
  <c r="M29" i="2"/>
  <c r="N29" i="2"/>
  <c r="O29" i="2"/>
  <c r="L30" i="2"/>
  <c r="M30" i="2"/>
  <c r="N30" i="2"/>
  <c r="O30" i="2"/>
  <c r="L31" i="2"/>
  <c r="M31" i="2"/>
  <c r="N31" i="2"/>
  <c r="O31" i="2"/>
  <c r="R21" i="2"/>
  <c r="R22" i="2"/>
  <c r="R23" i="2"/>
  <c r="R24" i="2"/>
  <c r="R25" i="2"/>
  <c r="R26" i="2"/>
  <c r="R27" i="2"/>
  <c r="R28" i="2"/>
  <c r="R29" i="2"/>
  <c r="R30" i="2"/>
  <c r="R31" i="2"/>
  <c r="R32" i="2"/>
  <c r="U21" i="2"/>
  <c r="V21" i="2"/>
  <c r="W21" i="2"/>
  <c r="X21" i="2"/>
  <c r="Y21" i="2"/>
  <c r="U22" i="2"/>
  <c r="V22" i="2"/>
  <c r="W22" i="2"/>
  <c r="X22" i="2"/>
  <c r="Y22" i="2"/>
  <c r="U23" i="2"/>
  <c r="V23" i="2"/>
  <c r="W23" i="2"/>
  <c r="X23" i="2"/>
  <c r="Y23" i="2"/>
  <c r="U24" i="2"/>
  <c r="V24" i="2"/>
  <c r="W24" i="2"/>
  <c r="X24" i="2"/>
  <c r="Y24" i="2"/>
  <c r="U25" i="2"/>
  <c r="V25" i="2"/>
  <c r="W25" i="2"/>
  <c r="X25" i="2"/>
  <c r="Y25" i="2"/>
  <c r="U26" i="2"/>
  <c r="V26" i="2"/>
  <c r="W26" i="2"/>
  <c r="X26" i="2"/>
  <c r="Y26" i="2"/>
  <c r="U27" i="2"/>
  <c r="V27" i="2"/>
  <c r="W27" i="2"/>
  <c r="X27" i="2"/>
  <c r="Y27" i="2"/>
  <c r="U28" i="2"/>
  <c r="V28" i="2"/>
  <c r="W28" i="2"/>
  <c r="X28" i="2"/>
  <c r="Y28" i="2"/>
  <c r="U29" i="2"/>
  <c r="V29" i="2"/>
  <c r="W29" i="2"/>
  <c r="X29" i="2"/>
  <c r="Y29" i="2"/>
  <c r="U30" i="2"/>
  <c r="V30" i="2"/>
  <c r="W30" i="2"/>
  <c r="X30" i="2"/>
  <c r="Y30" i="2"/>
  <c r="U31" i="2"/>
  <c r="V31" i="2"/>
  <c r="W31" i="2"/>
  <c r="X31" i="2"/>
  <c r="Y31" i="2"/>
  <c r="K3" i="2"/>
  <c r="S3" i="2" s="1"/>
  <c r="K4" i="2"/>
  <c r="S4" i="2" s="1"/>
  <c r="K5" i="2"/>
  <c r="S5" i="2" s="1"/>
  <c r="K6" i="2"/>
  <c r="S6" i="2" s="1"/>
  <c r="K7" i="2"/>
  <c r="S7" i="2" s="1"/>
  <c r="K8" i="2"/>
  <c r="S8" i="2" s="1"/>
  <c r="K9" i="2"/>
  <c r="S9" i="2" s="1"/>
  <c r="K10" i="2"/>
  <c r="S10" i="2" s="1"/>
  <c r="K11" i="2"/>
  <c r="S11" i="2" s="1"/>
  <c r="K12" i="2"/>
  <c r="S12" i="2" s="1"/>
  <c r="K13" i="2"/>
  <c r="S13" i="2" s="1"/>
  <c r="K14" i="2"/>
  <c r="S14" i="2" s="1"/>
  <c r="K15" i="2"/>
  <c r="S15" i="2" s="1"/>
  <c r="K16" i="2"/>
  <c r="K17" i="2"/>
  <c r="S17" i="2" s="1"/>
  <c r="K18" i="2"/>
  <c r="S18" i="2" s="1"/>
  <c r="K19" i="2"/>
  <c r="S19" i="2" s="1"/>
  <c r="K20" i="2"/>
  <c r="S20" i="2" s="1"/>
  <c r="K21" i="2"/>
  <c r="S21" i="2" s="1"/>
  <c r="K22" i="2"/>
  <c r="S22" i="2" s="1"/>
  <c r="K23" i="2"/>
  <c r="S23" i="2" s="1"/>
  <c r="K24" i="2"/>
  <c r="K25" i="2"/>
  <c r="K26" i="2"/>
  <c r="K27" i="2"/>
  <c r="K28" i="2"/>
  <c r="K29" i="2"/>
  <c r="K30" i="2"/>
  <c r="K31" i="2"/>
  <c r="K32" i="2"/>
  <c r="M3" i="2"/>
  <c r="N3" i="2"/>
  <c r="O3" i="2"/>
  <c r="P3" i="2"/>
  <c r="Q3" i="2"/>
  <c r="T3" i="2"/>
  <c r="U3" i="2"/>
  <c r="V3" i="2"/>
  <c r="W3" i="2"/>
  <c r="U4" i="2"/>
  <c r="V4" i="2"/>
  <c r="W4" i="2"/>
  <c r="U5" i="2"/>
  <c r="V5" i="2"/>
  <c r="W5" i="2"/>
  <c r="U6" i="2"/>
  <c r="V6" i="2"/>
  <c r="W6" i="2"/>
  <c r="L4" i="2"/>
  <c r="M4" i="2"/>
  <c r="N4" i="2"/>
  <c r="O4" i="2"/>
  <c r="P4" i="2"/>
  <c r="Q4" i="2"/>
  <c r="L5" i="2"/>
  <c r="T5" i="2" s="1"/>
  <c r="M5" i="2"/>
  <c r="N5" i="2"/>
  <c r="O5" i="2"/>
  <c r="P5" i="2"/>
  <c r="Q5" i="2"/>
  <c r="L6" i="2"/>
  <c r="T6" i="2" s="1"/>
  <c r="M6" i="2"/>
  <c r="N6" i="2"/>
  <c r="O6" i="2"/>
  <c r="P6" i="2"/>
  <c r="Q6" i="2"/>
  <c r="Z3" i="2"/>
  <c r="Z4" i="2"/>
  <c r="Z5" i="2"/>
  <c r="Z6" i="2"/>
  <c r="L7" i="2"/>
  <c r="T7" i="2" s="1"/>
  <c r="M7" i="2"/>
  <c r="N7" i="2"/>
  <c r="O7" i="2"/>
  <c r="L8" i="2"/>
  <c r="T8" i="2" s="1"/>
  <c r="M8" i="2"/>
  <c r="N8" i="2"/>
  <c r="O8" i="2"/>
  <c r="L9" i="2"/>
  <c r="T9" i="2" s="1"/>
  <c r="M9" i="2"/>
  <c r="N9" i="2"/>
  <c r="O9" i="2"/>
  <c r="L10" i="2"/>
  <c r="T10" i="2" s="1"/>
  <c r="M10" i="2"/>
  <c r="N10" i="2"/>
  <c r="O10" i="2"/>
  <c r="R7" i="2"/>
  <c r="R8" i="2"/>
  <c r="R9" i="2"/>
  <c r="R10" i="2"/>
  <c r="L25" i="3" a="1"/>
  <c r="K25" i="3" a="1"/>
  <c r="J25" i="3" a="1"/>
  <c r="I25" i="3" a="1"/>
  <c r="H25" i="3" a="1"/>
  <c r="G25" i="3" a="1"/>
  <c r="F25" i="3" a="1"/>
  <c r="E25" i="3" a="1"/>
  <c r="D25" i="3" a="1"/>
  <c r="C25" i="3" a="1"/>
  <c r="B25" i="3" a="1"/>
  <c r="L21" i="3" a="1"/>
  <c r="K21" i="3" a="1"/>
  <c r="J21" i="3" a="1"/>
  <c r="I21" i="3" a="1"/>
  <c r="H21" i="3" a="1"/>
  <c r="G21" i="3" a="1"/>
  <c r="F21" i="3" a="1"/>
  <c r="E21" i="3" a="1"/>
  <c r="D21" i="3" a="1"/>
  <c r="C21" i="3" a="1"/>
  <c r="B21" i="3" a="1"/>
  <c r="L26" i="3" a="1"/>
  <c r="K26" i="3" a="1"/>
  <c r="J26" i="3" a="1"/>
  <c r="I26" i="3" a="1"/>
  <c r="H26" i="3" a="1"/>
  <c r="G26" i="3" a="1"/>
  <c r="F26" i="3" a="1"/>
  <c r="E26" i="3" a="1"/>
  <c r="D26" i="3" a="1"/>
  <c r="C26" i="3" a="1"/>
  <c r="B26" i="3" a="1"/>
  <c r="L32" i="3" a="1"/>
  <c r="K32" i="3" a="1"/>
  <c r="J32" i="3" a="1"/>
  <c r="I32" i="3" a="1"/>
  <c r="H32" i="3" a="1"/>
  <c r="G32" i="3" a="1"/>
  <c r="F32" i="3" a="1"/>
  <c r="E32" i="3" a="1"/>
  <c r="D32" i="3" a="1"/>
  <c r="C32" i="3" a="1"/>
  <c r="B32" i="3" a="1"/>
  <c r="L27" i="3" a="1"/>
  <c r="K27" i="3" a="1"/>
  <c r="J27" i="3" a="1"/>
  <c r="I27" i="3" a="1"/>
  <c r="H27" i="3" a="1"/>
  <c r="G27" i="3" a="1"/>
  <c r="F27" i="3" a="1"/>
  <c r="E27" i="3" a="1"/>
  <c r="D27" i="3" a="1"/>
  <c r="C27" i="3" a="1"/>
  <c r="B27" i="3" a="1"/>
  <c r="L8" i="3" a="1"/>
  <c r="K8" i="3" a="1"/>
  <c r="J8" i="3" a="1"/>
  <c r="I8" i="3" a="1"/>
  <c r="H8" i="3" a="1"/>
  <c r="G8" i="3" a="1"/>
  <c r="F8" i="3" a="1"/>
  <c r="E8" i="3" a="1"/>
  <c r="D8" i="3" a="1"/>
  <c r="C8" i="3" a="1"/>
  <c r="B8" i="3" a="1"/>
  <c r="L10" i="3" a="1"/>
  <c r="K10" i="3" a="1"/>
  <c r="J10" i="3" a="1"/>
  <c r="I10" i="3" a="1"/>
  <c r="H10" i="3" a="1"/>
  <c r="G10" i="3" a="1"/>
  <c r="F10" i="3" a="1"/>
  <c r="E10" i="3" a="1"/>
  <c r="D10" i="3" a="1"/>
  <c r="C10" i="3" a="1"/>
  <c r="B10" i="3" a="1"/>
  <c r="L24" i="3" a="1"/>
  <c r="K24" i="3" a="1"/>
  <c r="J24" i="3" a="1"/>
  <c r="I24" i="3" a="1"/>
  <c r="H24" i="3" a="1"/>
  <c r="G24" i="3" a="1"/>
  <c r="F24" i="3" a="1"/>
  <c r="E24" i="3" a="1"/>
  <c r="D24" i="3" a="1"/>
  <c r="C24" i="3" a="1"/>
  <c r="B24" i="3" a="1"/>
  <c r="L28" i="3" a="1"/>
  <c r="K28" i="3" a="1"/>
  <c r="J28" i="3" a="1"/>
  <c r="I28" i="3" a="1"/>
  <c r="H28" i="3" a="1"/>
  <c r="G28" i="3" a="1"/>
  <c r="F28" i="3" a="1"/>
  <c r="E28" i="3" a="1"/>
  <c r="D28" i="3" a="1"/>
  <c r="C28" i="3" a="1"/>
  <c r="B28" i="3" a="1"/>
  <c r="L33" i="3" a="1"/>
  <c r="K33" i="3" a="1"/>
  <c r="J33" i="3" a="1"/>
  <c r="I33" i="3" a="1"/>
  <c r="H33" i="3" a="1"/>
  <c r="G33" i="3" a="1"/>
  <c r="F33" i="3" a="1"/>
  <c r="E33" i="3" a="1"/>
  <c r="D33" i="3" a="1"/>
  <c r="C33" i="3" a="1"/>
  <c r="B33" i="3" a="1"/>
  <c r="L5" i="3" a="1"/>
  <c r="K5" i="3" a="1"/>
  <c r="J5" i="3" a="1"/>
  <c r="I5" i="3" a="1"/>
  <c r="H5" i="3" a="1"/>
  <c r="G5" i="3" a="1"/>
  <c r="F5" i="3" a="1"/>
  <c r="E5" i="3" a="1"/>
  <c r="D5" i="3" a="1"/>
  <c r="C5" i="3" a="1"/>
  <c r="B5" i="3" a="1"/>
  <c r="L7" i="3" a="1"/>
  <c r="K7" i="3" a="1"/>
  <c r="J7" i="3" a="1"/>
  <c r="I7" i="3" a="1"/>
  <c r="H7" i="3" a="1"/>
  <c r="G7" i="3" a="1"/>
  <c r="F7" i="3" a="1"/>
  <c r="E7" i="3" a="1"/>
  <c r="D7" i="3" a="1"/>
  <c r="C7" i="3" a="1"/>
  <c r="B7" i="3" a="1"/>
  <c r="L11" i="3" a="1"/>
  <c r="K11" i="3" a="1"/>
  <c r="J11" i="3" a="1"/>
  <c r="I11" i="3" a="1"/>
  <c r="H11" i="3" a="1"/>
  <c r="G11" i="3" a="1"/>
  <c r="F11" i="3" a="1"/>
  <c r="E11" i="3" a="1"/>
  <c r="D11" i="3" a="1"/>
  <c r="C11" i="3" a="1"/>
  <c r="B11" i="3" a="1"/>
  <c r="L15" i="3" a="1"/>
  <c r="K15" i="3" a="1"/>
  <c r="J15" i="3" a="1"/>
  <c r="I15" i="3" a="1"/>
  <c r="H15" i="3" a="1"/>
  <c r="G15" i="3" a="1"/>
  <c r="F15" i="3" a="1"/>
  <c r="E15" i="3" a="1"/>
  <c r="D15" i="3" a="1"/>
  <c r="C15" i="3" a="1"/>
  <c r="B15" i="3" a="1"/>
  <c r="L17" i="3" a="1"/>
  <c r="K17" i="3" a="1"/>
  <c r="J17" i="3" a="1"/>
  <c r="I17" i="3" a="1"/>
  <c r="H17" i="3" a="1"/>
  <c r="G17" i="3" a="1"/>
  <c r="F17" i="3" a="1"/>
  <c r="E17" i="3" a="1"/>
  <c r="D17" i="3" a="1"/>
  <c r="C17" i="3" a="1"/>
  <c r="B17" i="3" a="1"/>
  <c r="L29" i="3" a="1"/>
  <c r="K29" i="3" a="1"/>
  <c r="J29" i="3" a="1"/>
  <c r="I29" i="3" a="1"/>
  <c r="H29" i="3" a="1"/>
  <c r="G29" i="3" a="1"/>
  <c r="F29" i="3" a="1"/>
  <c r="E29" i="3" a="1"/>
  <c r="D29" i="3" a="1"/>
  <c r="C29" i="3" a="1"/>
  <c r="B29" i="3" a="1"/>
  <c r="L30" i="3" a="1"/>
  <c r="K30" i="3" a="1"/>
  <c r="J30" i="3" a="1"/>
  <c r="I30" i="3" a="1"/>
  <c r="H30" i="3" a="1"/>
  <c r="G30" i="3" a="1"/>
  <c r="F30" i="3" a="1"/>
  <c r="E30" i="3" a="1"/>
  <c r="D30" i="3" a="1"/>
  <c r="C30" i="3" a="1"/>
  <c r="B30" i="3" a="1"/>
  <c r="L31" i="3" a="1"/>
  <c r="K31" i="3" a="1"/>
  <c r="J31" i="3" a="1"/>
  <c r="I31" i="3" a="1"/>
  <c r="H31" i="3" a="1"/>
  <c r="G31" i="3" a="1"/>
  <c r="F31" i="3" a="1"/>
  <c r="E31" i="3" a="1"/>
  <c r="D31" i="3" a="1"/>
  <c r="C31" i="3" a="1"/>
  <c r="B31" i="3" a="1"/>
  <c r="L34" i="3" a="1"/>
  <c r="K34" i="3" a="1"/>
  <c r="J34" i="3" a="1"/>
  <c r="I34" i="3" a="1"/>
  <c r="H34" i="3" a="1"/>
  <c r="G34" i="3" a="1"/>
  <c r="F34" i="3" a="1"/>
  <c r="E34" i="3" a="1"/>
  <c r="D34" i="3" a="1"/>
  <c r="C34" i="3" a="1"/>
  <c r="B34" i="3" a="1"/>
  <c r="L6" i="3" a="1"/>
  <c r="K6" i="3" a="1"/>
  <c r="J6" i="3" a="1"/>
  <c r="I6" i="3" a="1"/>
  <c r="H6" i="3" a="1"/>
  <c r="G6" i="3" a="1"/>
  <c r="F6" i="3" a="1"/>
  <c r="E6" i="3" a="1"/>
  <c r="D6" i="3" a="1"/>
  <c r="C6" i="3" a="1"/>
  <c r="B6" i="3" a="1"/>
  <c r="L9" i="3" a="1"/>
  <c r="K9" i="3" a="1"/>
  <c r="J9" i="3" a="1"/>
  <c r="I9" i="3" a="1"/>
  <c r="H9" i="3" a="1"/>
  <c r="G9" i="3" a="1"/>
  <c r="F9" i="3" a="1"/>
  <c r="E9" i="3" a="1"/>
  <c r="D9" i="3" a="1"/>
  <c r="C9" i="3" a="1"/>
  <c r="B9" i="3" a="1"/>
  <c r="L12" i="3" a="1"/>
  <c r="K12" i="3" a="1"/>
  <c r="J12" i="3" a="1"/>
  <c r="I12" i="3" a="1"/>
  <c r="H12" i="3" a="1"/>
  <c r="G12" i="3" a="1"/>
  <c r="F12" i="3" a="1"/>
  <c r="E12" i="3" a="1"/>
  <c r="D12" i="3" a="1"/>
  <c r="C12" i="3" a="1"/>
  <c r="B12" i="3" a="1"/>
  <c r="L14" i="3" a="1"/>
  <c r="K14" i="3" a="1"/>
  <c r="J14" i="3" a="1"/>
  <c r="I14" i="3" a="1"/>
  <c r="H14" i="3" a="1"/>
  <c r="G14" i="3" a="1"/>
  <c r="F14" i="3" a="1"/>
  <c r="E14" i="3" a="1"/>
  <c r="D14" i="3" a="1"/>
  <c r="C14" i="3" a="1"/>
  <c r="B14" i="3" a="1"/>
  <c r="L18" i="3" a="1"/>
  <c r="K18" i="3" a="1"/>
  <c r="J18" i="3" a="1"/>
  <c r="I18" i="3" a="1"/>
  <c r="H18" i="3" a="1"/>
  <c r="G18" i="3" a="1"/>
  <c r="F18" i="3" a="1"/>
  <c r="E18" i="3" a="1"/>
  <c r="D18" i="3" a="1"/>
  <c r="C18" i="3" a="1"/>
  <c r="B18" i="3" a="1"/>
  <c r="L23" i="3" a="1"/>
  <c r="K23" i="3" a="1"/>
  <c r="J23" i="3" a="1"/>
  <c r="I23" i="3" a="1"/>
  <c r="H23" i="3" a="1"/>
  <c r="G23" i="3" a="1"/>
  <c r="F23" i="3" a="1"/>
  <c r="E23" i="3" a="1"/>
  <c r="D23" i="3" a="1"/>
  <c r="C23" i="3" a="1"/>
  <c r="B23" i="3" a="1"/>
  <c r="L13" i="3" a="1"/>
  <c r="K13" i="3" a="1"/>
  <c r="J13" i="3" a="1"/>
  <c r="I13" i="3" a="1"/>
  <c r="H13" i="3" a="1"/>
  <c r="G13" i="3" a="1"/>
  <c r="F13" i="3" a="1"/>
  <c r="E13" i="3" a="1"/>
  <c r="D13" i="3" a="1"/>
  <c r="C13" i="3" a="1"/>
  <c r="B13" i="3" a="1"/>
  <c r="L16" i="3" a="1"/>
  <c r="K16" i="3" a="1"/>
  <c r="J16" i="3" a="1"/>
  <c r="I16" i="3" a="1"/>
  <c r="H16" i="3" a="1"/>
  <c r="G16" i="3" a="1"/>
  <c r="F16" i="3" a="1"/>
  <c r="E16" i="3" a="1"/>
  <c r="D16" i="3" a="1"/>
  <c r="C16" i="3" a="1"/>
  <c r="B16" i="3" a="1"/>
  <c r="L19" i="3" a="1"/>
  <c r="K19" i="3" a="1"/>
  <c r="J19" i="3" a="1"/>
  <c r="I19" i="3" a="1"/>
  <c r="H19" i="3" a="1"/>
  <c r="G19" i="3" a="1"/>
  <c r="F19" i="3" a="1"/>
  <c r="E19" i="3" a="1"/>
  <c r="D19" i="3" a="1"/>
  <c r="C19" i="3" a="1"/>
  <c r="B19" i="3" a="1"/>
  <c r="L22" i="3" a="1"/>
  <c r="K22" i="3" a="1"/>
  <c r="J22" i="3" a="1"/>
  <c r="I22" i="3" a="1"/>
  <c r="H22" i="3" a="1"/>
  <c r="G22" i="3" a="1"/>
  <c r="F22" i="3" a="1"/>
  <c r="E22" i="3" a="1"/>
  <c r="D22" i="3" a="1"/>
  <c r="C22" i="3" a="1"/>
  <c r="B22" i="3" a="1"/>
  <c r="L20" i="3" a="1"/>
  <c r="K20" i="3" a="1"/>
  <c r="J20" i="3" a="1"/>
  <c r="I20" i="3" a="1"/>
  <c r="H20" i="3" a="1"/>
  <c r="G20" i="3" a="1"/>
  <c r="F20" i="3" a="1"/>
  <c r="E20" i="3" a="1"/>
  <c r="D20" i="3" a="1"/>
  <c r="C20" i="3" a="1"/>
  <c r="B20" i="3" a="1"/>
  <c r="A29" i="2" a="1"/>
  <c r="A24" i="2" a="1"/>
  <c r="A12" i="2" a="1"/>
  <c r="A13" i="2" a="1"/>
  <c r="A21" i="2" a="1"/>
  <c r="A18" i="2" a="1"/>
  <c r="A31" i="2" a="1"/>
  <c r="A8" i="2" a="1"/>
  <c r="A23" i="2" a="1"/>
  <c r="A30" i="2" a="1"/>
  <c r="A4" i="2" a="1"/>
  <c r="A5" i="2" a="1"/>
  <c r="A26" i="2" a="1"/>
  <c r="A14" i="2" a="1"/>
  <c r="A27" i="2" a="1"/>
  <c r="A10" i="2" a="1"/>
  <c r="A32" i="2" a="1"/>
  <c r="A3" i="2" a="1"/>
  <c r="A6" i="2" a="1"/>
  <c r="A7" i="2" a="1"/>
  <c r="A25" i="2" a="1"/>
  <c r="A11" i="2" a="1"/>
  <c r="A28" i="2" a="1"/>
  <c r="A9" i="2" a="1"/>
  <c r="A16" i="2" a="1"/>
  <c r="A19" i="2" a="1"/>
  <c r="A22" i="2" a="1"/>
  <c r="A15" i="2" a="1"/>
  <c r="A17" i="2" a="1"/>
  <c r="A20" i="2" a="1"/>
  <c r="B20" i="3" l="1"/>
  <c r="B55" i="3" s="1"/>
  <c r="C20" i="3"/>
  <c r="C55" i="3" s="1"/>
  <c r="D20" i="3"/>
  <c r="D55" i="3" s="1"/>
  <c r="E20" i="3"/>
  <c r="E55" i="3" s="1"/>
  <c r="F20" i="3"/>
  <c r="F55" i="3" s="1"/>
  <c r="G20" i="3"/>
  <c r="G55" i="3" s="1"/>
  <c r="H20" i="3"/>
  <c r="H55" i="3" s="1"/>
  <c r="I20" i="3"/>
  <c r="I55" i="3" s="1"/>
  <c r="J20" i="3"/>
  <c r="J55" i="3" s="1"/>
  <c r="K20" i="3"/>
  <c r="K55" i="3" s="1"/>
  <c r="L20" i="3"/>
  <c r="L55" i="3" s="1"/>
  <c r="B22" i="3"/>
  <c r="B57" i="3" s="1"/>
  <c r="C22" i="3"/>
  <c r="C57" i="3" s="1"/>
  <c r="D22" i="3"/>
  <c r="D57" i="3" s="1"/>
  <c r="E22" i="3"/>
  <c r="E57" i="3" s="1"/>
  <c r="F22" i="3"/>
  <c r="F57" i="3" s="1"/>
  <c r="G22" i="3"/>
  <c r="G57" i="3" s="1"/>
  <c r="H22" i="3"/>
  <c r="H57" i="3" s="1"/>
  <c r="I22" i="3"/>
  <c r="I57" i="3" s="1"/>
  <c r="J22" i="3"/>
  <c r="J57" i="3" s="1"/>
  <c r="K22" i="3"/>
  <c r="K57" i="3" s="1"/>
  <c r="L22" i="3"/>
  <c r="L57" i="3" s="1"/>
  <c r="B19" i="3"/>
  <c r="B54" i="3" s="1"/>
  <c r="C19" i="3"/>
  <c r="C54" i="3" s="1"/>
  <c r="D19" i="3"/>
  <c r="D54" i="3" s="1"/>
  <c r="E19" i="3"/>
  <c r="E54" i="3" s="1"/>
  <c r="F19" i="3"/>
  <c r="F54" i="3" s="1"/>
  <c r="G19" i="3"/>
  <c r="G54" i="3" s="1"/>
  <c r="H19" i="3"/>
  <c r="H54" i="3" s="1"/>
  <c r="I19" i="3"/>
  <c r="I54" i="3" s="1"/>
  <c r="J19" i="3"/>
  <c r="J54" i="3" s="1"/>
  <c r="K19" i="3"/>
  <c r="K54" i="3" s="1"/>
  <c r="L19" i="3"/>
  <c r="L54" i="3" s="1"/>
  <c r="B16" i="3"/>
  <c r="B51" i="3" s="1"/>
  <c r="C16" i="3"/>
  <c r="C51" i="3" s="1"/>
  <c r="D16" i="3"/>
  <c r="D51" i="3" s="1"/>
  <c r="E16" i="3"/>
  <c r="E51" i="3" s="1"/>
  <c r="F16" i="3"/>
  <c r="F51" i="3" s="1"/>
  <c r="G16" i="3"/>
  <c r="G51" i="3" s="1"/>
  <c r="H16" i="3"/>
  <c r="H51" i="3" s="1"/>
  <c r="I16" i="3"/>
  <c r="I51" i="3" s="1"/>
  <c r="J16" i="3"/>
  <c r="J51" i="3" s="1"/>
  <c r="K16" i="3"/>
  <c r="K51" i="3" s="1"/>
  <c r="L16" i="3"/>
  <c r="L51" i="3" s="1"/>
  <c r="B13" i="3"/>
  <c r="B48" i="3" s="1"/>
  <c r="C13" i="3"/>
  <c r="C48" i="3" s="1"/>
  <c r="D13" i="3"/>
  <c r="D48" i="3" s="1"/>
  <c r="E13" i="3"/>
  <c r="E48" i="3" s="1"/>
  <c r="F13" i="3"/>
  <c r="F48" i="3" s="1"/>
  <c r="G13" i="3"/>
  <c r="G48" i="3" s="1"/>
  <c r="H13" i="3"/>
  <c r="H48" i="3" s="1"/>
  <c r="I13" i="3"/>
  <c r="I48" i="3" s="1"/>
  <c r="J13" i="3"/>
  <c r="J48" i="3" s="1"/>
  <c r="K13" i="3"/>
  <c r="K48" i="3" s="1"/>
  <c r="L13" i="3"/>
  <c r="L48" i="3" s="1"/>
  <c r="B23" i="3"/>
  <c r="B58" i="3" s="1"/>
  <c r="C23" i="3"/>
  <c r="C58" i="3" s="1"/>
  <c r="D23" i="3"/>
  <c r="D58" i="3" s="1"/>
  <c r="E23" i="3"/>
  <c r="E58" i="3" s="1"/>
  <c r="F23" i="3"/>
  <c r="F58" i="3" s="1"/>
  <c r="G23" i="3"/>
  <c r="G58" i="3" s="1"/>
  <c r="H23" i="3"/>
  <c r="H58" i="3" s="1"/>
  <c r="I23" i="3"/>
  <c r="I58" i="3" s="1"/>
  <c r="J23" i="3"/>
  <c r="J58" i="3" s="1"/>
  <c r="K23" i="3"/>
  <c r="K58" i="3" s="1"/>
  <c r="L23" i="3"/>
  <c r="L58" i="3" s="1"/>
  <c r="B18" i="3"/>
  <c r="B53" i="3" s="1"/>
  <c r="C18" i="3"/>
  <c r="C53" i="3" s="1"/>
  <c r="D18" i="3"/>
  <c r="D53" i="3" s="1"/>
  <c r="E18" i="3"/>
  <c r="E53" i="3" s="1"/>
  <c r="F18" i="3"/>
  <c r="F53" i="3" s="1"/>
  <c r="G18" i="3"/>
  <c r="G53" i="3" s="1"/>
  <c r="H18" i="3"/>
  <c r="H53" i="3" s="1"/>
  <c r="I18" i="3"/>
  <c r="I53" i="3" s="1"/>
  <c r="J18" i="3"/>
  <c r="J53" i="3" s="1"/>
  <c r="K18" i="3"/>
  <c r="K53" i="3" s="1"/>
  <c r="L18" i="3"/>
  <c r="L53" i="3" s="1"/>
  <c r="B14" i="3"/>
  <c r="B49" i="3" s="1"/>
  <c r="C14" i="3"/>
  <c r="C49" i="3" s="1"/>
  <c r="D14" i="3"/>
  <c r="D49" i="3" s="1"/>
  <c r="E14" i="3"/>
  <c r="E49" i="3" s="1"/>
  <c r="F14" i="3"/>
  <c r="F49" i="3" s="1"/>
  <c r="G14" i="3"/>
  <c r="G49" i="3" s="1"/>
  <c r="H14" i="3"/>
  <c r="H49" i="3" s="1"/>
  <c r="I14" i="3"/>
  <c r="I49" i="3" s="1"/>
  <c r="J14" i="3"/>
  <c r="J49" i="3" s="1"/>
  <c r="K14" i="3"/>
  <c r="K49" i="3" s="1"/>
  <c r="L14" i="3"/>
  <c r="L49" i="3" s="1"/>
  <c r="B12" i="3"/>
  <c r="B47" i="3" s="1"/>
  <c r="C12" i="3"/>
  <c r="C47" i="3" s="1"/>
  <c r="D12" i="3"/>
  <c r="D47" i="3" s="1"/>
  <c r="E12" i="3"/>
  <c r="E47" i="3" s="1"/>
  <c r="F12" i="3"/>
  <c r="F47" i="3" s="1"/>
  <c r="G12" i="3"/>
  <c r="G47" i="3" s="1"/>
  <c r="H12" i="3"/>
  <c r="H47" i="3" s="1"/>
  <c r="I12" i="3"/>
  <c r="I47" i="3" s="1"/>
  <c r="J12" i="3"/>
  <c r="J47" i="3" s="1"/>
  <c r="K12" i="3"/>
  <c r="K47" i="3" s="1"/>
  <c r="L12" i="3"/>
  <c r="L47" i="3" s="1"/>
  <c r="B9" i="3"/>
  <c r="B44" i="3" s="1"/>
  <c r="C9" i="3"/>
  <c r="C44" i="3" s="1"/>
  <c r="D9" i="3"/>
  <c r="D44" i="3" s="1"/>
  <c r="E9" i="3"/>
  <c r="E44" i="3" s="1"/>
  <c r="F9" i="3"/>
  <c r="F44" i="3" s="1"/>
  <c r="G9" i="3"/>
  <c r="G44" i="3" s="1"/>
  <c r="H9" i="3"/>
  <c r="H44" i="3" s="1"/>
  <c r="I9" i="3"/>
  <c r="I44" i="3" s="1"/>
  <c r="J9" i="3"/>
  <c r="J44" i="3" s="1"/>
  <c r="K9" i="3"/>
  <c r="K44" i="3" s="1"/>
  <c r="L9" i="3"/>
  <c r="L44" i="3" s="1"/>
  <c r="B6" i="3"/>
  <c r="B41" i="3" s="1"/>
  <c r="C6" i="3"/>
  <c r="C41" i="3" s="1"/>
  <c r="D6" i="3"/>
  <c r="D41" i="3" s="1"/>
  <c r="E6" i="3"/>
  <c r="E41" i="3" s="1"/>
  <c r="F6" i="3"/>
  <c r="F41" i="3" s="1"/>
  <c r="G6" i="3"/>
  <c r="G41" i="3" s="1"/>
  <c r="H6" i="3"/>
  <c r="H41" i="3" s="1"/>
  <c r="I6" i="3"/>
  <c r="I41" i="3" s="1"/>
  <c r="J6" i="3"/>
  <c r="J41" i="3" s="1"/>
  <c r="K6" i="3"/>
  <c r="K41" i="3" s="1"/>
  <c r="L6" i="3"/>
  <c r="L41" i="3" s="1"/>
  <c r="B34" i="3"/>
  <c r="B69" i="3" s="1"/>
  <c r="C34" i="3"/>
  <c r="C69" i="3" s="1"/>
  <c r="D34" i="3"/>
  <c r="D69" i="3" s="1"/>
  <c r="E34" i="3"/>
  <c r="E69" i="3" s="1"/>
  <c r="F34" i="3"/>
  <c r="F69" i="3" s="1"/>
  <c r="G34" i="3"/>
  <c r="G69" i="3" s="1"/>
  <c r="H34" i="3"/>
  <c r="H69" i="3" s="1"/>
  <c r="I34" i="3"/>
  <c r="I69" i="3" s="1"/>
  <c r="J34" i="3"/>
  <c r="J69" i="3" s="1"/>
  <c r="K34" i="3"/>
  <c r="K69" i="3" s="1"/>
  <c r="L34" i="3"/>
  <c r="L69" i="3" s="1"/>
  <c r="B31" i="3"/>
  <c r="B66" i="3" s="1"/>
  <c r="C31" i="3"/>
  <c r="C66" i="3" s="1"/>
  <c r="D31" i="3"/>
  <c r="D66" i="3" s="1"/>
  <c r="E31" i="3"/>
  <c r="E66" i="3" s="1"/>
  <c r="F31" i="3"/>
  <c r="F66" i="3" s="1"/>
  <c r="G31" i="3"/>
  <c r="G66" i="3" s="1"/>
  <c r="H31" i="3"/>
  <c r="H66" i="3" s="1"/>
  <c r="I31" i="3"/>
  <c r="I66" i="3" s="1"/>
  <c r="J31" i="3"/>
  <c r="J66" i="3" s="1"/>
  <c r="K31" i="3"/>
  <c r="K66" i="3" s="1"/>
  <c r="L31" i="3"/>
  <c r="L66" i="3" s="1"/>
  <c r="B30" i="3"/>
  <c r="B65" i="3" s="1"/>
  <c r="C30" i="3"/>
  <c r="C65" i="3" s="1"/>
  <c r="D30" i="3"/>
  <c r="D65" i="3" s="1"/>
  <c r="E30" i="3"/>
  <c r="E65" i="3" s="1"/>
  <c r="F30" i="3"/>
  <c r="F65" i="3" s="1"/>
  <c r="G30" i="3"/>
  <c r="G65" i="3" s="1"/>
  <c r="H30" i="3"/>
  <c r="H65" i="3" s="1"/>
  <c r="I30" i="3"/>
  <c r="I65" i="3" s="1"/>
  <c r="J30" i="3"/>
  <c r="J65" i="3" s="1"/>
  <c r="K30" i="3"/>
  <c r="K65" i="3" s="1"/>
  <c r="L30" i="3"/>
  <c r="L65" i="3" s="1"/>
  <c r="B29" i="3"/>
  <c r="B64" i="3" s="1"/>
  <c r="C29" i="3"/>
  <c r="C64" i="3" s="1"/>
  <c r="D29" i="3"/>
  <c r="D64" i="3" s="1"/>
  <c r="E29" i="3"/>
  <c r="E64" i="3" s="1"/>
  <c r="F29" i="3"/>
  <c r="F64" i="3" s="1"/>
  <c r="G29" i="3"/>
  <c r="G64" i="3" s="1"/>
  <c r="H29" i="3"/>
  <c r="H64" i="3" s="1"/>
  <c r="I29" i="3"/>
  <c r="I64" i="3" s="1"/>
  <c r="J29" i="3"/>
  <c r="J64" i="3" s="1"/>
  <c r="K29" i="3"/>
  <c r="K64" i="3" s="1"/>
  <c r="L29" i="3"/>
  <c r="L64" i="3" s="1"/>
  <c r="B17" i="3"/>
  <c r="B52" i="3" s="1"/>
  <c r="C17" i="3"/>
  <c r="C52" i="3" s="1"/>
  <c r="D17" i="3"/>
  <c r="D52" i="3" s="1"/>
  <c r="E17" i="3"/>
  <c r="E52" i="3" s="1"/>
  <c r="F17" i="3"/>
  <c r="F52" i="3" s="1"/>
  <c r="G17" i="3"/>
  <c r="G52" i="3" s="1"/>
  <c r="H17" i="3"/>
  <c r="H52" i="3" s="1"/>
  <c r="I17" i="3"/>
  <c r="I52" i="3" s="1"/>
  <c r="J17" i="3"/>
  <c r="J52" i="3" s="1"/>
  <c r="K17" i="3"/>
  <c r="K52" i="3" s="1"/>
  <c r="L17" i="3"/>
  <c r="L52" i="3" s="1"/>
  <c r="B15" i="3"/>
  <c r="B50" i="3" s="1"/>
  <c r="C15" i="3"/>
  <c r="C50" i="3" s="1"/>
  <c r="D15" i="3"/>
  <c r="D50" i="3" s="1"/>
  <c r="E15" i="3"/>
  <c r="E50" i="3" s="1"/>
  <c r="F15" i="3"/>
  <c r="F50" i="3" s="1"/>
  <c r="G15" i="3"/>
  <c r="G50" i="3" s="1"/>
  <c r="H15" i="3"/>
  <c r="H50" i="3" s="1"/>
  <c r="I15" i="3"/>
  <c r="I50" i="3" s="1"/>
  <c r="J15" i="3"/>
  <c r="J50" i="3" s="1"/>
  <c r="K15" i="3"/>
  <c r="K50" i="3" s="1"/>
  <c r="L15" i="3"/>
  <c r="L50" i="3" s="1"/>
  <c r="B11" i="3"/>
  <c r="B46" i="3" s="1"/>
  <c r="C11" i="3"/>
  <c r="C46" i="3" s="1"/>
  <c r="D11" i="3"/>
  <c r="D46" i="3" s="1"/>
  <c r="E11" i="3"/>
  <c r="E46" i="3" s="1"/>
  <c r="F11" i="3"/>
  <c r="F46" i="3" s="1"/>
  <c r="G11" i="3"/>
  <c r="G46" i="3" s="1"/>
  <c r="H11" i="3"/>
  <c r="H46" i="3" s="1"/>
  <c r="I11" i="3"/>
  <c r="I46" i="3" s="1"/>
  <c r="J11" i="3"/>
  <c r="J46" i="3" s="1"/>
  <c r="K11" i="3"/>
  <c r="K46" i="3" s="1"/>
  <c r="L11" i="3"/>
  <c r="L46" i="3" s="1"/>
  <c r="B7" i="3"/>
  <c r="B42" i="3" s="1"/>
  <c r="C7" i="3"/>
  <c r="C42" i="3" s="1"/>
  <c r="D7" i="3"/>
  <c r="D42" i="3" s="1"/>
  <c r="E7" i="3"/>
  <c r="E42" i="3" s="1"/>
  <c r="F7" i="3"/>
  <c r="F42" i="3" s="1"/>
  <c r="G7" i="3"/>
  <c r="G42" i="3" s="1"/>
  <c r="H7" i="3"/>
  <c r="H42" i="3" s="1"/>
  <c r="I7" i="3"/>
  <c r="I42" i="3" s="1"/>
  <c r="J7" i="3"/>
  <c r="J42" i="3" s="1"/>
  <c r="K7" i="3"/>
  <c r="K42" i="3" s="1"/>
  <c r="L7" i="3"/>
  <c r="L42" i="3" s="1"/>
  <c r="B5" i="3"/>
  <c r="C5" i="3"/>
  <c r="D5" i="3"/>
  <c r="E5" i="3"/>
  <c r="F5" i="3"/>
  <c r="G5" i="3"/>
  <c r="H5" i="3"/>
  <c r="I5" i="3"/>
  <c r="J5" i="3"/>
  <c r="K5" i="3"/>
  <c r="L5" i="3"/>
  <c r="B33" i="3"/>
  <c r="B68" i="3" s="1"/>
  <c r="C33" i="3"/>
  <c r="C68" i="3" s="1"/>
  <c r="D33" i="3"/>
  <c r="D68" i="3" s="1"/>
  <c r="E33" i="3"/>
  <c r="E68" i="3" s="1"/>
  <c r="F33" i="3"/>
  <c r="F68" i="3" s="1"/>
  <c r="G33" i="3"/>
  <c r="G68" i="3" s="1"/>
  <c r="H33" i="3"/>
  <c r="H68" i="3" s="1"/>
  <c r="I33" i="3"/>
  <c r="I68" i="3" s="1"/>
  <c r="J33" i="3"/>
  <c r="J68" i="3" s="1"/>
  <c r="K33" i="3"/>
  <c r="K68" i="3" s="1"/>
  <c r="L33" i="3"/>
  <c r="L68" i="3" s="1"/>
  <c r="B28" i="3"/>
  <c r="B63" i="3" s="1"/>
  <c r="C28" i="3"/>
  <c r="C63" i="3" s="1"/>
  <c r="D28" i="3"/>
  <c r="D63" i="3" s="1"/>
  <c r="E28" i="3"/>
  <c r="E63" i="3" s="1"/>
  <c r="F28" i="3"/>
  <c r="F63" i="3" s="1"/>
  <c r="G28" i="3"/>
  <c r="G63" i="3" s="1"/>
  <c r="H28" i="3"/>
  <c r="H63" i="3" s="1"/>
  <c r="I28" i="3"/>
  <c r="I63" i="3" s="1"/>
  <c r="J28" i="3"/>
  <c r="J63" i="3" s="1"/>
  <c r="K28" i="3"/>
  <c r="K63" i="3" s="1"/>
  <c r="L28" i="3"/>
  <c r="L63" i="3" s="1"/>
  <c r="B24" i="3"/>
  <c r="B59" i="3" s="1"/>
  <c r="C24" i="3"/>
  <c r="C59" i="3" s="1"/>
  <c r="D24" i="3"/>
  <c r="D59" i="3" s="1"/>
  <c r="E24" i="3"/>
  <c r="E59" i="3" s="1"/>
  <c r="F24" i="3"/>
  <c r="F59" i="3" s="1"/>
  <c r="G24" i="3"/>
  <c r="G59" i="3" s="1"/>
  <c r="H24" i="3"/>
  <c r="H59" i="3" s="1"/>
  <c r="I24" i="3"/>
  <c r="I59" i="3" s="1"/>
  <c r="J24" i="3"/>
  <c r="J59" i="3" s="1"/>
  <c r="K24" i="3"/>
  <c r="K59" i="3" s="1"/>
  <c r="L24" i="3"/>
  <c r="L59" i="3" s="1"/>
  <c r="B10" i="3"/>
  <c r="B45" i="3" s="1"/>
  <c r="C10" i="3"/>
  <c r="C45" i="3" s="1"/>
  <c r="D10" i="3"/>
  <c r="D45" i="3" s="1"/>
  <c r="E10" i="3"/>
  <c r="E45" i="3" s="1"/>
  <c r="F10" i="3"/>
  <c r="F45" i="3" s="1"/>
  <c r="G10" i="3"/>
  <c r="G45" i="3" s="1"/>
  <c r="H10" i="3"/>
  <c r="H45" i="3" s="1"/>
  <c r="I10" i="3"/>
  <c r="I45" i="3" s="1"/>
  <c r="J10" i="3"/>
  <c r="J45" i="3" s="1"/>
  <c r="K10" i="3"/>
  <c r="K45" i="3" s="1"/>
  <c r="L10" i="3"/>
  <c r="L45" i="3" s="1"/>
  <c r="B8" i="3"/>
  <c r="B43" i="3" s="1"/>
  <c r="C8" i="3"/>
  <c r="C43" i="3" s="1"/>
  <c r="D8" i="3"/>
  <c r="D43" i="3" s="1"/>
  <c r="E8" i="3"/>
  <c r="E43" i="3" s="1"/>
  <c r="F8" i="3"/>
  <c r="F43" i="3" s="1"/>
  <c r="G8" i="3"/>
  <c r="G43" i="3" s="1"/>
  <c r="H8" i="3"/>
  <c r="H43" i="3" s="1"/>
  <c r="I8" i="3"/>
  <c r="I43" i="3" s="1"/>
  <c r="J8" i="3"/>
  <c r="J43" i="3" s="1"/>
  <c r="K8" i="3"/>
  <c r="K43" i="3" s="1"/>
  <c r="L8" i="3"/>
  <c r="L43" i="3" s="1"/>
  <c r="B27" i="3"/>
  <c r="B62" i="3" s="1"/>
  <c r="C27" i="3"/>
  <c r="C62" i="3" s="1"/>
  <c r="D27" i="3"/>
  <c r="D62" i="3" s="1"/>
  <c r="E27" i="3"/>
  <c r="E62" i="3" s="1"/>
  <c r="F27" i="3"/>
  <c r="F62" i="3" s="1"/>
  <c r="G27" i="3"/>
  <c r="G62" i="3" s="1"/>
  <c r="H27" i="3"/>
  <c r="H62" i="3" s="1"/>
  <c r="I27" i="3"/>
  <c r="I62" i="3" s="1"/>
  <c r="J27" i="3"/>
  <c r="J62" i="3" s="1"/>
  <c r="K27" i="3"/>
  <c r="K62" i="3" s="1"/>
  <c r="L27" i="3"/>
  <c r="L62" i="3" s="1"/>
  <c r="B32" i="3"/>
  <c r="B67" i="3" s="1"/>
  <c r="C32" i="3"/>
  <c r="C67" i="3" s="1"/>
  <c r="D32" i="3"/>
  <c r="D67" i="3" s="1"/>
  <c r="E32" i="3"/>
  <c r="E67" i="3" s="1"/>
  <c r="F32" i="3"/>
  <c r="F67" i="3" s="1"/>
  <c r="G32" i="3"/>
  <c r="G67" i="3" s="1"/>
  <c r="H32" i="3"/>
  <c r="H67" i="3" s="1"/>
  <c r="I32" i="3"/>
  <c r="I67" i="3" s="1"/>
  <c r="J32" i="3"/>
  <c r="J67" i="3" s="1"/>
  <c r="K32" i="3"/>
  <c r="K67" i="3" s="1"/>
  <c r="L32" i="3"/>
  <c r="L67" i="3" s="1"/>
  <c r="B26" i="3"/>
  <c r="B61" i="3" s="1"/>
  <c r="C26" i="3"/>
  <c r="C61" i="3" s="1"/>
  <c r="D26" i="3"/>
  <c r="D61" i="3" s="1"/>
  <c r="E26" i="3"/>
  <c r="E61" i="3" s="1"/>
  <c r="F26" i="3"/>
  <c r="F61" i="3" s="1"/>
  <c r="G26" i="3"/>
  <c r="G61" i="3" s="1"/>
  <c r="H26" i="3"/>
  <c r="H61" i="3" s="1"/>
  <c r="I26" i="3"/>
  <c r="I61" i="3" s="1"/>
  <c r="J26" i="3"/>
  <c r="J61" i="3" s="1"/>
  <c r="K26" i="3"/>
  <c r="K61" i="3" s="1"/>
  <c r="L26" i="3"/>
  <c r="L61" i="3" s="1"/>
  <c r="B21" i="3"/>
  <c r="B56" i="3" s="1"/>
  <c r="C21" i="3"/>
  <c r="C56" i="3" s="1"/>
  <c r="D21" i="3"/>
  <c r="D56" i="3" s="1"/>
  <c r="E21" i="3"/>
  <c r="E56" i="3" s="1"/>
  <c r="F21" i="3"/>
  <c r="F56" i="3" s="1"/>
  <c r="G21" i="3"/>
  <c r="G56" i="3" s="1"/>
  <c r="H21" i="3"/>
  <c r="H56" i="3" s="1"/>
  <c r="I21" i="3"/>
  <c r="I56" i="3" s="1"/>
  <c r="J21" i="3"/>
  <c r="J56" i="3" s="1"/>
  <c r="K21" i="3"/>
  <c r="K56" i="3" s="1"/>
  <c r="L21" i="3"/>
  <c r="L56" i="3" s="1"/>
  <c r="B25" i="3"/>
  <c r="B60" i="3" s="1"/>
  <c r="C25" i="3"/>
  <c r="C60" i="3" s="1"/>
  <c r="D25" i="3"/>
  <c r="D60" i="3" s="1"/>
  <c r="E25" i="3"/>
  <c r="E60" i="3" s="1"/>
  <c r="F25" i="3"/>
  <c r="F60" i="3" s="1"/>
  <c r="G25" i="3"/>
  <c r="G60" i="3" s="1"/>
  <c r="H25" i="3"/>
  <c r="H60" i="3" s="1"/>
  <c r="I25" i="3"/>
  <c r="I60" i="3" s="1"/>
  <c r="J25" i="3"/>
  <c r="J60" i="3" s="1"/>
  <c r="K25" i="3"/>
  <c r="K60" i="3" s="1"/>
  <c r="L25" i="3"/>
  <c r="L60" i="3" s="1"/>
  <c r="A20" i="2"/>
  <c r="A17" i="2"/>
  <c r="A15" i="2"/>
  <c r="A22" i="2"/>
  <c r="A19" i="2"/>
  <c r="A16" i="2"/>
  <c r="A9" i="2"/>
  <c r="A28" i="2"/>
  <c r="A11" i="2"/>
  <c r="A25" i="2"/>
  <c r="A7" i="2"/>
  <c r="A6" i="2"/>
  <c r="A3" i="2"/>
  <c r="A32" i="2"/>
  <c r="A10" i="2"/>
  <c r="A27" i="2"/>
  <c r="A14" i="2"/>
  <c r="A26" i="2"/>
  <c r="A5" i="2"/>
  <c r="A4" i="2"/>
  <c r="A30" i="2"/>
  <c r="A23" i="2"/>
  <c r="A8" i="2"/>
  <c r="A31" i="2"/>
  <c r="A18" i="2"/>
  <c r="A21" i="2"/>
  <c r="A13" i="2"/>
  <c r="A12" i="2"/>
  <c r="A24" i="2"/>
  <c r="A29" i="2"/>
  <c r="B20" i="2" a="1"/>
  <c r="B17" i="2" a="1"/>
  <c r="B15" i="2" a="1"/>
  <c r="B22" i="2" a="1"/>
  <c r="B19" i="2" a="1"/>
  <c r="B16" i="2" a="1"/>
  <c r="B9" i="2" a="1"/>
  <c r="B28" i="2" a="1"/>
  <c r="B11" i="2" a="1"/>
  <c r="B25" i="2" a="1"/>
  <c r="B7" i="2" a="1"/>
  <c r="B6" i="2" a="1"/>
  <c r="B3" i="2" a="1"/>
  <c r="B32" i="2" a="1"/>
  <c r="B10" i="2" a="1"/>
  <c r="B27" i="2" a="1"/>
  <c r="B14" i="2" a="1"/>
  <c r="B26" i="2" a="1"/>
  <c r="B5" i="2" a="1"/>
  <c r="B4" i="2" a="1"/>
  <c r="B30" i="2" a="1"/>
  <c r="B23" i="2" a="1"/>
  <c r="B8" i="2" a="1"/>
  <c r="B31" i="2" a="1"/>
  <c r="B18" i="2" a="1"/>
  <c r="B21" i="2" a="1"/>
  <c r="B13" i="2" a="1"/>
  <c r="B12" i="2" a="1"/>
  <c r="B24" i="2" a="1"/>
  <c r="B29" i="2" a="1"/>
  <c r="I40" i="3" l="1"/>
  <c r="I70" i="3" s="1"/>
  <c r="I35" i="3"/>
  <c r="F40" i="3"/>
  <c r="F70" i="3" s="1"/>
  <c r="F35" i="3"/>
  <c r="L40" i="3"/>
  <c r="L70" i="3" s="1"/>
  <c r="L35" i="3"/>
  <c r="D40" i="3"/>
  <c r="D70" i="3" s="1"/>
  <c r="D35" i="3"/>
  <c r="H40" i="3"/>
  <c r="H70" i="3" s="1"/>
  <c r="H35" i="3"/>
  <c r="C40" i="3"/>
  <c r="C70" i="3" s="1"/>
  <c r="C35" i="3"/>
  <c r="K40" i="3"/>
  <c r="K70" i="3" s="1"/>
  <c r="K35" i="3"/>
  <c r="E40" i="3"/>
  <c r="E70" i="3" s="1"/>
  <c r="E35" i="3"/>
  <c r="G40" i="3"/>
  <c r="G70" i="3" s="1"/>
  <c r="G35" i="3"/>
  <c r="B40" i="3"/>
  <c r="B70" i="3" s="1"/>
  <c r="B35" i="3"/>
  <c r="J40" i="3"/>
  <c r="J70" i="3" s="1"/>
  <c r="J35" i="3"/>
  <c r="B29" i="2"/>
  <c r="C29" i="2" s="1"/>
  <c r="B24" i="2"/>
  <c r="C24" i="2" s="1"/>
  <c r="B12" i="2"/>
  <c r="C12" i="2" s="1"/>
  <c r="B13" i="2"/>
  <c r="C13" i="2" s="1"/>
  <c r="B21" i="2"/>
  <c r="C21" i="2" s="1"/>
  <c r="B18" i="2"/>
  <c r="C18" i="2" s="1"/>
  <c r="B31" i="2"/>
  <c r="C31" i="2" s="1"/>
  <c r="B8" i="2"/>
  <c r="C8" i="2" s="1"/>
  <c r="B23" i="2"/>
  <c r="C23" i="2" s="1"/>
  <c r="B30" i="2"/>
  <c r="C30" i="2" s="1"/>
  <c r="B4" i="2"/>
  <c r="C4" i="2" s="1"/>
  <c r="B5" i="2"/>
  <c r="C5" i="2" s="1"/>
  <c r="B26" i="2"/>
  <c r="C26" i="2" s="1"/>
  <c r="B14" i="2"/>
  <c r="C14" i="2" s="1"/>
  <c r="B27" i="2"/>
  <c r="C27" i="2" s="1"/>
  <c r="B10" i="2"/>
  <c r="C10" i="2" s="1"/>
  <c r="B32" i="2"/>
  <c r="C32" i="2" s="1"/>
  <c r="B3" i="2"/>
  <c r="C3" i="2" s="1"/>
  <c r="B6" i="2"/>
  <c r="C6" i="2" s="1"/>
  <c r="B7" i="2"/>
  <c r="C7" i="2" s="1"/>
  <c r="B25" i="2"/>
  <c r="C25" i="2" s="1"/>
  <c r="B11" i="2"/>
  <c r="C11" i="2" s="1"/>
  <c r="B28" i="2"/>
  <c r="C28" i="2" s="1"/>
  <c r="B9" i="2"/>
  <c r="C9" i="2" s="1"/>
  <c r="B16" i="2"/>
  <c r="C16" i="2" s="1"/>
  <c r="B19" i="2"/>
  <c r="C19" i="2" s="1"/>
  <c r="B22" i="2"/>
  <c r="C22" i="2" s="1"/>
  <c r="B15" i="2"/>
  <c r="C15" i="2" s="1"/>
  <c r="B17" i="2"/>
  <c r="C17" i="2" s="1"/>
  <c r="B20" i="2"/>
  <c r="C20" i="2" s="1"/>
  <c r="B5" i="6" l="1"/>
  <c r="J5" i="6"/>
  <c r="G5" i="6"/>
  <c r="K5" i="6"/>
  <c r="F5" i="6"/>
  <c r="D5" i="6"/>
  <c r="I5" i="6"/>
  <c r="E5" i="6"/>
  <c r="L5" i="6"/>
  <c r="C5" i="6"/>
  <c r="H5" i="6"/>
  <c r="N32" i="1"/>
  <c r="I32" i="1"/>
  <c r="L32" i="1" s="1"/>
  <c r="H32" i="1"/>
  <c r="G32" i="1"/>
  <c r="K32" i="1" s="1"/>
  <c r="N20" i="1"/>
  <c r="I20" i="1"/>
  <c r="L20" i="1" s="1"/>
  <c r="H20" i="1"/>
  <c r="G20" i="1"/>
  <c r="K20" i="1" s="1"/>
  <c r="N19" i="1"/>
  <c r="I19" i="1"/>
  <c r="L19" i="1" s="1"/>
  <c r="H19" i="1"/>
  <c r="G19" i="1"/>
  <c r="K19" i="1" s="1"/>
  <c r="N18" i="1"/>
  <c r="I18" i="1"/>
  <c r="L18" i="1" s="1"/>
  <c r="H18" i="1"/>
  <c r="G18" i="1"/>
  <c r="K18" i="1" s="1"/>
  <c r="N17" i="1"/>
  <c r="I17" i="1"/>
  <c r="L17" i="1" s="1"/>
  <c r="H17" i="1"/>
  <c r="G17" i="1"/>
  <c r="K17" i="1" s="1"/>
  <c r="N16" i="1"/>
  <c r="I16" i="1"/>
  <c r="L16" i="1" s="1"/>
  <c r="H16" i="1"/>
  <c r="G16" i="1"/>
  <c r="K16" i="1" s="1"/>
  <c r="N15" i="1"/>
  <c r="I15" i="1"/>
  <c r="L15" i="1" s="1"/>
  <c r="H15" i="1"/>
  <c r="G15" i="1"/>
  <c r="K15" i="1" s="1"/>
  <c r="N14" i="1"/>
  <c r="I14" i="1"/>
  <c r="L14" i="1" s="1"/>
  <c r="H14" i="1"/>
  <c r="G14" i="1"/>
  <c r="K14" i="1" s="1"/>
  <c r="N13" i="1"/>
  <c r="I13" i="1"/>
  <c r="L13" i="1" s="1"/>
  <c r="H13" i="1"/>
  <c r="G13" i="1"/>
  <c r="K13" i="1" s="1"/>
  <c r="N12" i="1"/>
  <c r="I12" i="1"/>
  <c r="L12" i="1" s="1"/>
  <c r="H12" i="1"/>
  <c r="G12" i="1"/>
  <c r="K12" i="1" s="1"/>
  <c r="N11" i="1"/>
  <c r="I11" i="1"/>
  <c r="L11" i="1" s="1"/>
  <c r="H11" i="1"/>
  <c r="G11" i="1"/>
  <c r="K11"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<sst xmlns="http://schemas.openxmlformats.org/spreadsheetml/2006/main" count="484" uniqueCount="158">
  <si>
    <t>Notional</t>
  </si>
  <si>
    <t>SOFR</t>
  </si>
  <si>
    <t>USD</t>
  </si>
  <si>
    <t>ACT/360</t>
  </si>
  <si>
    <t>FIXED</t>
  </si>
  <si>
    <t>30/360</t>
  </si>
  <si>
    <t>In Arrears</t>
  </si>
  <si>
    <t>LIB1</t>
  </si>
  <si>
    <t>In Advance</t>
  </si>
  <si>
    <t>LIB3</t>
  </si>
  <si>
    <t>FED FUNDS</t>
  </si>
  <si>
    <t>CUSIP</t>
  </si>
  <si>
    <t>Price</t>
  </si>
  <si>
    <t>Userbond</t>
  </si>
  <si>
    <t>MATDATE</t>
  </si>
  <si>
    <t>PAYTYPE</t>
  </si>
  <si>
    <t>PAYCRNCY</t>
  </si>
  <si>
    <t>PAYFREQ</t>
  </si>
  <si>
    <t>PAYDAYCOUNT</t>
  </si>
  <si>
    <t>RCVTYPE</t>
  </si>
  <si>
    <t>PAYINDEX</t>
  </si>
  <si>
    <t>SECTYPE</t>
  </si>
  <si>
    <t>SWAP</t>
  </si>
  <si>
    <t>FLOATING</t>
  </si>
  <si>
    <t>SECSUBTYPE</t>
  </si>
  <si>
    <t>TCKR</t>
  </si>
  <si>
    <t>RDMTYPE</t>
  </si>
  <si>
    <t>STANDARD</t>
  </si>
  <si>
    <t>SWAP1</t>
  </si>
  <si>
    <t>SWAP2</t>
  </si>
  <si>
    <t>SWAP3</t>
  </si>
  <si>
    <t>SWAP4</t>
  </si>
  <si>
    <t>SWAP5</t>
  </si>
  <si>
    <t>SWAP6</t>
  </si>
  <si>
    <t>SWAP7</t>
  </si>
  <si>
    <t>SWAP8</t>
  </si>
  <si>
    <t>SWAP9</t>
  </si>
  <si>
    <t>SWAP10</t>
  </si>
  <si>
    <t>SWAP11</t>
  </si>
  <si>
    <t>SWAP12</t>
  </si>
  <si>
    <t>SWAP13</t>
  </si>
  <si>
    <t>SWAP14</t>
  </si>
  <si>
    <t>SWAP15</t>
  </si>
  <si>
    <t>SWAP16</t>
  </si>
  <si>
    <t>SWAP17</t>
  </si>
  <si>
    <t>SWAP18</t>
  </si>
  <si>
    <t>SWAP19</t>
  </si>
  <si>
    <t>SWAP20</t>
  </si>
  <si>
    <t>SWAP21</t>
  </si>
  <si>
    <t>SWAP22</t>
  </si>
  <si>
    <t>SWAP23</t>
  </si>
  <si>
    <t>SWAP24</t>
  </si>
  <si>
    <t>SWAP25</t>
  </si>
  <si>
    <t>SWAP26</t>
  </si>
  <si>
    <t>SWAP27</t>
  </si>
  <si>
    <t>SWAP28</t>
  </si>
  <si>
    <t>SWAP29</t>
  </si>
  <si>
    <t>SWAP30</t>
  </si>
  <si>
    <t>PAYISSDATE</t>
  </si>
  <si>
    <t>PAYRESET</t>
  </si>
  <si>
    <t>PAYCOUPON</t>
  </si>
  <si>
    <t>RCVISSDATE</t>
  </si>
  <si>
    <t>RCVFRQ</t>
  </si>
  <si>
    <t>RCVDAYCOUNT</t>
  </si>
  <si>
    <t>RCVCRNCY</t>
  </si>
  <si>
    <t>RCVINDEX</t>
  </si>
  <si>
    <t>RCVRESET</t>
  </si>
  <si>
    <t>RCVCOUPON</t>
  </si>
  <si>
    <t>Effective Date</t>
  </si>
  <si>
    <t>Maturity</t>
  </si>
  <si>
    <t>Pay Leg</t>
  </si>
  <si>
    <t>Pay Leg Currency</t>
  </si>
  <si>
    <t>Pay Leg Frequency</t>
  </si>
  <si>
    <t>Pay Leg Day Count</t>
  </si>
  <si>
    <t>Rec Leg</t>
  </si>
  <si>
    <t>Rec Leg Currency</t>
  </si>
  <si>
    <t>Rec Leg Frequency</t>
  </si>
  <si>
    <t>Rec Leg Day Count</t>
  </si>
  <si>
    <t>Fixed Rate</t>
  </si>
  <si>
    <t>Float Reset Type</t>
  </si>
  <si>
    <t>NPV/MTM</t>
  </si>
  <si>
    <t>SECSUBTYP2</t>
  </si>
  <si>
    <t>Part 1: insert your trades as user bonds, you need to have 11 valuation dates</t>
  </si>
  <si>
    <t>Hint: I would put the dates up top and the portfolio horizontal below</t>
  </si>
  <si>
    <t>Swap Prices based on notional amount (MTM)</t>
  </si>
  <si>
    <t>Swap 1</t>
  </si>
  <si>
    <t>Swap 2</t>
  </si>
  <si>
    <t>Swap 3</t>
  </si>
  <si>
    <t>Swap 4</t>
  </si>
  <si>
    <t>Swap 5</t>
  </si>
  <si>
    <t>Swap 6</t>
  </si>
  <si>
    <t>Swap 7</t>
  </si>
  <si>
    <t>Swap 8</t>
  </si>
  <si>
    <t>Swap 9</t>
  </si>
  <si>
    <t>Swap 10</t>
  </si>
  <si>
    <t>Swap 11</t>
  </si>
  <si>
    <t>Swap 12</t>
  </si>
  <si>
    <t>Swap 13</t>
  </si>
  <si>
    <t>Swap 14</t>
  </si>
  <si>
    <t>Swap 15</t>
  </si>
  <si>
    <t>Swap 16</t>
  </si>
  <si>
    <t>Swap 17</t>
  </si>
  <si>
    <t>Swap 18</t>
  </si>
  <si>
    <t>Swap 19</t>
  </si>
  <si>
    <t>Swap 20</t>
  </si>
  <si>
    <t>Swap 21</t>
  </si>
  <si>
    <t>Swap 22</t>
  </si>
  <si>
    <t>Swap 23</t>
  </si>
  <si>
    <t>Swap 24</t>
  </si>
  <si>
    <t>Swap 25</t>
  </si>
  <si>
    <t>Swap 26</t>
  </si>
  <si>
    <t>Swap 27</t>
  </si>
  <si>
    <t>Swap 28</t>
  </si>
  <si>
    <t>Swap 29</t>
  </si>
  <si>
    <t>Swap 30</t>
  </si>
  <si>
    <t>Insert 11 shocked curves, 1 for each month end of the year so far</t>
  </si>
  <si>
    <t>Dates</t>
  </si>
  <si>
    <t>Tenors</t>
  </si>
  <si>
    <t>Spot Curve</t>
  </si>
  <si>
    <t>Shocked Curve (50bps)</t>
  </si>
  <si>
    <t xml:space="preserve">User Curve Id </t>
  </si>
  <si>
    <t>Insert 11 hedges here using the solver</t>
  </si>
  <si>
    <t>Hint: you can go between sheets and solve for fixed rates using the prices from the part 1 sheet</t>
  </si>
  <si>
    <t>Solver</t>
  </si>
  <si>
    <t>How did your portfolio act over time?</t>
  </si>
  <si>
    <t>Were your hedges successful? Why or why not?</t>
  </si>
  <si>
    <t>Revalue your portfolios here</t>
  </si>
  <si>
    <t>hint: you can copy paste</t>
  </si>
  <si>
    <t>Date</t>
  </si>
  <si>
    <t>Shocked Swap prices MTM</t>
  </si>
  <si>
    <t>Shocked Hedge prices MTM</t>
  </si>
  <si>
    <t>Original Portfolio PV</t>
  </si>
  <si>
    <t>Shocked Portfolio PV</t>
  </si>
  <si>
    <t>Hedge Portfolio PV(shocked)</t>
  </si>
  <si>
    <t>Hedged Portfolio PV</t>
  </si>
  <si>
    <t>Pricing Date</t>
  </si>
  <si>
    <t>COUP</t>
  </si>
  <si>
    <t>DTDATE</t>
  </si>
  <si>
    <t>FCPDATE</t>
  </si>
  <si>
    <t>BOND1</t>
  </si>
  <si>
    <t>BOND</t>
  </si>
  <si>
    <t>BOND2</t>
  </si>
  <si>
    <t>BOND3</t>
  </si>
  <si>
    <t>BOND4</t>
  </si>
  <si>
    <t>BOND5</t>
  </si>
  <si>
    <t>BOND6</t>
  </si>
  <si>
    <t>BOND7</t>
  </si>
  <si>
    <t>BOND8</t>
  </si>
  <si>
    <t>BOND9</t>
  </si>
  <si>
    <t>BOND10</t>
  </si>
  <si>
    <t>BOND11</t>
  </si>
  <si>
    <t>Portfolio Price MTM</t>
  </si>
  <si>
    <t>Hedge Price MTM</t>
  </si>
  <si>
    <t>Shocked Hedge Price</t>
  </si>
  <si>
    <t>Hedge Price</t>
  </si>
  <si>
    <t>Portfolio Values</t>
  </si>
  <si>
    <t>Across the 11 month-end valuation dates in 2025, the unhedged portfolio’s present value remains consistently negative, but fluctuates within a relatively narrow range. This indicates that the portfolio has clear interest rate exposure, but is not highly leveraged to changes in rates. The magnitude of the present value remains stable relative to the overall notional, suggesting moderate duration risk rather than extreme sensitivity.
The month-to-month movements in present value are driven by changes in the level and shape of the yield curve, as well as by the natural roll-down effect as the underlying bonds and swaps move closer to maturity. As time progresses, these effects cause gradual valuation changes rather than sharp discontinuities, reflecting the diversified maturity structure of the portfolio’s cash flows.
When the portfolio is subjected to a +50 basis point parallel rate shock using Yield Book’s scenario analysis framework, the present value becomes more negative in every valuation month. This response is consistent with a portfolio that is effectively long duration, where increases in interest rates reduce the present value of fixed-rate cash flows. The magnitude of the shock impact varies across months, indicating that the portfolio’s sensitivity to different segments of the yield curve evolves over time.
Overall, the unhedged portfolio exhibits persistent but manageable interest rate risk: it consistently loses value when rates rise, but the losses remain contained and proportional throughout the valuation horizon.</t>
  </si>
  <si>
    <t>The hedge is highly effective at the initial valuation date, but its effectiveness declines over time. At the first month-end, the hedge portfolio is calibrated such that its present value closely offsets the present value of the original portfolio, resulting in a combined position that is approximately flat. This design choice is consistent with the guidance provided in our email correspondence, which specified that each hedge should be constructed to offset the portfolio value at the valuation date, subject to the constraint of using a 1-year hedge instrument with a $1 billion notional.
As the year progresses, the Yield Book valuation results show that the hedge portfolio’s present value increasingly diverges from that of the original portfolio. In several later months, the hedge portfolio becomes significantly negative, and in some cases the combined hedged position performs worse than the unhedged portfolio. This outcome reflects a mismatch between the hedge structure and the evolving risk profile of the underlying portfolio.
The hedge consists of a single 1-year fixed-rate instrument with a $1 billion notional that was calibrated at inception. In contrast, the original portfolio’s cash flows and interest rate sensitivities are distributed across multiple maturities and segments of the yield curve. As the portfolio rolls down the curve and its effective duration profile changes, the static hedge no longer aligns with the portfolio’s evolving exposures.
Importantly, the hedge coupon was intentionally held constant across all valuation dates rather than being re-solved each month. This approach aligns with both the project instructions and the prior guidance received, and reflects a realistic static hedging strategy. Continuously re-optimizing the hedge would mechanically improve hedge performance but would not provide a meaningful evaluation of hedge quality.
In conclusion, the hedge is successful in offsetting the portfolio value at the calibration date and reducing interest rate exposure initially, but it is not effective as a dynamic hedge over the full horizon. The results highlight the limitations of using a single-maturity, static hedge to manage the interest rate risk of a portfolio with more complex and evolving exposures.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</si>
</sst>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0.000"/>
    <numFmt numFmtId="165" formatCode="0.0000"/>
  </numFmts>
  <fonts count="9" x14ac:knownFonts="1">
    <font>
      <sz val="11"/>
      <color theme="1"/>
      <name val="Aptos Narrow"/>
      <family val="2"/>
      <scheme val="minor"/>
    </font>
    <font>
      <sz val="11"/>
      <color theme="1"/>
      <name val="Aptos Narrow"/>
      <family val="2"/>
      <scheme val="minor"/>
    </font>
    <font>
      <sz val="8"/>
      <name val="Aptos Narrow"/>
      <family val="2"/>
      <scheme val="minor"/>
    </font>
    <font>
      <b/>
      <sz val="11"/>
      <color theme="1"/>
      <name val="Aptos Narrow"/>
      <family val="2"/>
      <scheme val="minor"/>
    </font>
    <font>
      <sz val="10"/>
      <color theme="1"/>
      <name val="Arial"/>
      <family val="2"/>
    </font>
    <font>
      <b/>
      <sz val="11"/>
      <color rgb="FFFF0000"/>
      <name val="Aptos Narrow"/>
      <family val="2"/>
      <scheme val="minor"/>
    </font>
    <font>
      <b/>
      <sz val="11"/>
      <color theme="1"/>
      <name val="Aptos Narrow"/>
      <scheme val="minor"/>
    </font>
    <font>
      <b/>
      <sz val="11"/>
      <color rgb="FFFF0000"/>
      <name val="Aptos Narrow"/>
      <scheme val="minor"/>
    </font>
    <font>
      <sz val="11"/>
      <color theme="1"/>
      <name val="Aptos Narrow"/>
      <scheme val="minor"/>
    </font>
  </fonts>
  <fills count="6">
    <fill>
      <patternFill patternType="none"/>
    </fill>
    <fill>
      <patternFill patternType="gray125"/>
    </fill>
    <fill>
      <patternFill patternType="solid">
        <fgColor rgb="FFFFC000"/>
        <bgColor indexed="64"/>
      </patternFill>
    </fill>
    <fill>
      <patternFill patternType="solid">
        <fgColor theme="2" tint="-9.9978637043366805E-2"/>
        <bgColor indexed="64"/>
      </patternFill>
    </fill>
    <fill>
      <patternFill patternType="solid">
        <fgColor theme="5" tint="0.59999389629810485"/>
        <bgColor indexed="64"/>
      </patternFill>
    </fill>
    <fill>
      <patternFill patternType="solid">
        <fgColor theme="5" tint="0.39997558519241921"/>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s>
  <cellStyleXfs count="3">
    <xf numFmtId="0" fontId="0" fillId="0" borderId="0"/>
    <xf numFmtId="44" fontId="1" fillId="0" borderId="0" applyFont="0" applyFill="0" applyBorder="0" applyAlignment="0" applyProtection="0"/>
    <xf numFmtId="0" fontId="4" fillId="0" borderId="0"/>
  </cellStyleXfs>
  <cellXfs count="32">
    <xf numFmtId="0" fontId="0" fillId="0" borderId="0" xfId="0"/>
    <xf numFmtId="0" fontId="0" fillId="0" borderId="1" xfId="0" applyBorder="1"/>
    <xf numFmtId="164" fontId="0" fillId="0" borderId="0" xfId="0" applyNumberFormat="1"/>
    <xf numFmtId="0" fontId="3" fillId="0" borderId="0" xfId="0" applyFont="1"/>
    <xf numFmtId="0" fontId="3" fillId="0" borderId="1" xfId="0" applyFont="1" applyBorder="1"/>
    <xf numFmtId="14" fontId="0" fillId="0" borderId="1" xfId="0" applyNumberFormat="1" applyBorder="1"/>
    <xf numFmtId="14" fontId="0" fillId="0" borderId="1" xfId="0" applyNumberFormat="1" applyBorder="1" applyAlignment="1">
      <alignment vertical="center" wrapText="1"/>
    </xf>
    <xf numFmtId="44" fontId="1" fillId="0" borderId="1" xfId="1" applyFont="1" applyBorder="1"/>
    <xf numFmtId="164" fontId="0" fillId="0" borderId="1" xfId="0" applyNumberFormat="1" applyBorder="1"/>
    <xf numFmtId="165" fontId="0" fillId="0" borderId="1" xfId="0" applyNumberFormat="1" applyBorder="1"/>
    <xf numFmtId="0" fontId="0" fillId="0" borderId="0" xfId="0" applyAlignment="1">
      <alignment vertical="center" wrapText="1"/>
    </xf>
    <xf numFmtId="0" fontId="0" fillId="0" borderId="0" xfId="0" applyAlignment="1">
      <alignment vertical="top" wrapText="1"/>
    </xf>
    <xf numFmtId="0" fontId="0" fillId="2" borderId="0" xfId="0" applyFill="1"/>
    <xf numFmtId="0" fontId="3" fillId="0" borderId="3" xfId="0" applyFont="1" applyBorder="1"/>
    <xf numFmtId="0" fontId="3" fillId="0" borderId="0" xfId="0" applyFont="1" applyAlignment="1">
      <alignment horizontal="center"/>
    </xf>
    <xf numFmtId="0" fontId="5" fillId="3" borderId="1" xfId="0" applyFont="1" applyFill="1" applyBorder="1" applyAlignment="1">
      <alignment horizontal="center" vertical="center"/>
    </xf>
    <xf numFmtId="0" fontId="5" fillId="3" borderId="1" xfId="0" applyFont="1" applyFill="1" applyBorder="1" applyAlignment="1">
      <alignment horizontal="center"/>
    </xf>
    <xf numFmtId="14" fontId="5" fillId="3" borderId="1" xfId="0" applyNumberFormat="1" applyFont="1" applyFill="1" applyBorder="1" applyAlignment="1">
      <alignment horizontal="center" vertical="center"/>
    </xf>
    <xf numFmtId="165" fontId="3" fillId="0" borderId="5" xfId="0" applyNumberFormat="1" applyFont="1" applyBorder="1"/>
    <xf numFmtId="165" fontId="0" fillId="0" borderId="4" xfId="0" applyNumberFormat="1" applyBorder="1"/>
    <xf numFmtId="0" fontId="3" fillId="4" borderId="1" xfId="0" applyFont="1" applyFill="1" applyBorder="1" applyAlignment="1">
      <alignment horizontal="center"/>
    </xf>
    <xf numFmtId="2" fontId="0" fillId="0" borderId="1" xfId="0" applyNumberFormat="1" applyBorder="1"/>
    <xf numFmtId="0" fontId="7" fillId="3" borderId="1" xfId="0" applyFont="1" applyFill="1" applyBorder="1" applyAlignment="1">
      <alignment horizontal="center" vertical="center"/>
    </xf>
    <xf numFmtId="0" fontId="0" fillId="5" borderId="0" xfId="0" applyFill="1"/>
    <xf numFmtId="0" fontId="3" fillId="5" borderId="1" xfId="0" applyFont="1" applyFill="1" applyBorder="1" applyAlignment="1">
      <alignment horizontal="center"/>
    </xf>
    <xf numFmtId="0" fontId="3" fillId="5" borderId="2" xfId="0" applyFont="1" applyFill="1" applyBorder="1" applyAlignment="1">
      <alignment horizontal="center"/>
    </xf>
    <xf numFmtId="14" fontId="8" fillId="0" borderId="1" xfId="0" applyNumberFormat="1" applyFont="1" applyBorder="1"/>
    <xf numFmtId="14" fontId="7" fillId="3" borderId="1" xfId="0" applyNumberFormat="1" applyFont="1" applyFill="1" applyBorder="1" applyAlignment="1">
      <alignment horizontal="center" vertical="center"/>
    </xf>
    <xf numFmtId="0" fontId="7" fillId="3" borderId="1" xfId="0" applyFont="1" applyFill="1" applyBorder="1" applyAlignment="1">
      <alignment horizontal="center"/>
    </xf>
    <xf numFmtId="14" fontId="7" fillId="3" borderId="1" xfId="0" applyNumberFormat="1" applyFont="1" applyFill="1" applyBorder="1" applyAlignment="1">
      <alignment horizontal="center"/>
    </xf>
    <xf numFmtId="0" fontId="6" fillId="0" borderId="0" xfId="0" applyFont="1" applyFill="1"/>
    <xf numFmtId="0" fontId="8" fillId="0" borderId="0" xfId="0" applyFont="1" applyFill="1"/>
  </cellXfs>
  <cellStyles count="3">
    <cellStyle name="Currency" xfId="1" builtinId="4"/>
    <cellStyle name="Normal" xfId="0" builtinId="0"/>
    <cellStyle name="Normal 3" xfId="2" xr:uid="{5053C97A-88CD-4F83-87FB-BD3A24621F3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pbapa/AppData/Roaming/Microsoft/AddIns/YieldBookAddin.xlam" TargetMode="External"/><Relationship Id="rId1" Type="http://schemas.openxmlformats.org/officeDocument/2006/relationships/externalLinkPath" Target="file:///C:/Users/pbapa/AppData/Roaming/Microsoft/AddIns/YieldBookAddin.xlam"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pbapa/Downloads/Portfolio%202025%20Final%20(3).xlsx" TargetMode="External"/><Relationship Id="rId1" Type="http://schemas.openxmlformats.org/officeDocument/2006/relationships/externalLinkPath" Target="file:///C:/Users/pbapa/Downloads/Portfolio%202025%20Final%20(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 val="Sheet2"/>
      <sheetName val="Sheet3"/>
      <sheetName val="YieldBookAddin"/>
    </sheetNames>
    <definedNames>
      <definedName name="YBCURVEANALY"/>
      <definedName name="YBPORT"/>
      <definedName name="YBPRICE"/>
      <definedName name="YBSOLVER"/>
      <definedName name="YBSW"/>
    </definedNames>
    <sheetDataSet>
      <sheetData sheetId="0"/>
      <sheetData sheetId="1"/>
      <sheetData sheetId="2"/>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ortfolio"/>
      <sheetName val="Userbonds"/>
      <sheetName val="Part 1 - Portfolio"/>
      <sheetName val="Part 2 - Hedges"/>
      <sheetName val="Part 3 - Shocks"/>
      <sheetName val="Part 4 - Revalue"/>
      <sheetName val="Part 5 - Questions"/>
    </sheetNames>
    <sheetDataSet>
      <sheetData sheetId="0">
        <row r="3">
          <cell r="C3">
            <v>44168</v>
          </cell>
        </row>
      </sheetData>
      <sheetData sheetId="1">
        <row r="3">
          <cell r="A3" t="str">
            <v>YBP_SWAP1</v>
          </cell>
        </row>
        <row r="4">
          <cell r="A4" t="str">
            <v>YBP_SWAP2</v>
          </cell>
        </row>
        <row r="5">
          <cell r="A5" t="str">
            <v>YBP_SWAP3</v>
          </cell>
        </row>
        <row r="6">
          <cell r="A6" t="str">
            <v>YBP_SWAP4</v>
          </cell>
        </row>
        <row r="7">
          <cell r="A7" t="str">
            <v>YBP_SWAP5</v>
          </cell>
        </row>
        <row r="8">
          <cell r="A8" t="str">
            <v>YBP_SWAP6</v>
          </cell>
        </row>
        <row r="9">
          <cell r="A9" t="str">
            <v>YBP_SWAP7</v>
          </cell>
        </row>
        <row r="10">
          <cell r="A10" t="str">
            <v>YBP_SWAP8</v>
          </cell>
        </row>
        <row r="11">
          <cell r="A11" t="str">
            <v>YBP_SWAP9</v>
          </cell>
        </row>
        <row r="12">
          <cell r="A12" t="str">
            <v>YBP_SWAP10</v>
          </cell>
        </row>
        <row r="13">
          <cell r="A13" t="str">
            <v>YBP_SWAP11</v>
          </cell>
        </row>
        <row r="14">
          <cell r="A14" t="str">
            <v>YBP_SWAP12</v>
          </cell>
        </row>
        <row r="15">
          <cell r="A15" t="str">
            <v>YBP_SWAP13</v>
          </cell>
        </row>
        <row r="16">
          <cell r="A16" t="str">
            <v>YBP_SWAP14</v>
          </cell>
        </row>
        <row r="17">
          <cell r="A17" t="str">
            <v>YBP_SWAP15</v>
          </cell>
        </row>
        <row r="18">
          <cell r="A18" t="str">
            <v>YBP_SWAP16</v>
          </cell>
        </row>
        <row r="19">
          <cell r="A19" t="str">
            <v>YBP_SWAP17</v>
          </cell>
        </row>
        <row r="20">
          <cell r="A20" t="str">
            <v>YBP_SWAP18</v>
          </cell>
        </row>
        <row r="21">
          <cell r="A21" t="str">
            <v>YBP_SWAP19</v>
          </cell>
        </row>
        <row r="22">
          <cell r="A22" t="str">
            <v>YBP_SWAP20</v>
          </cell>
        </row>
        <row r="23">
          <cell r="A23" t="str">
            <v>YBP_SWAP21</v>
          </cell>
        </row>
        <row r="24">
          <cell r="A24" t="str">
            <v>YBP_SWAP22</v>
          </cell>
        </row>
        <row r="25">
          <cell r="A25" t="str">
            <v>YBP_SWAP23</v>
          </cell>
        </row>
        <row r="26">
          <cell r="A26" t="str">
            <v>YBP_SWAP24</v>
          </cell>
        </row>
        <row r="27">
          <cell r="A27" t="str">
            <v>YBP_SWAP25</v>
          </cell>
        </row>
        <row r="28">
          <cell r="A28" t="str">
            <v>YBP_SWAP26</v>
          </cell>
        </row>
        <row r="29">
          <cell r="A29" t="str">
            <v>YBP_SWAP27</v>
          </cell>
        </row>
        <row r="30">
          <cell r="A30" t="str">
            <v>YBP_SWAP28</v>
          </cell>
        </row>
        <row r="31">
          <cell r="A31" t="str">
            <v>YBP_SWAP29</v>
          </cell>
        </row>
        <row r="32">
          <cell r="A32" t="str">
            <v>YBP_SWAP30</v>
          </cell>
        </row>
      </sheetData>
      <sheetData sheetId="2"/>
      <sheetData sheetId="3"/>
      <sheetData sheetId="4"/>
      <sheetData sheetId="5"/>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DF58A3-F80F-4D1E-A754-B8B4FDB07BB5}">
  <dimension ref="B2:T32"/>
  <sheetViews>
    <sheetView tabSelected="1" workbookViewId="0"/>
  </sheetViews>
  <sheetFormatPr baseColWidth="10" defaultColWidth="8.83203125" defaultRowHeight="15" x14ac:dyDescent="0.2"/>
  <cols>
    <col min="2" max="2" width="14.33203125" bestFit="1" customWidth="1"/>
    <col min="3" max="3" width="14" bestFit="1" customWidth="1"/>
    <col min="4" max="5" width="11.5" customWidth="1"/>
    <col min="6" max="6" width="16.5" bestFit="1" customWidth="1"/>
    <col min="7" max="8" width="17.83203125" bestFit="1" customWidth="1"/>
    <col min="9" max="9" width="12.1640625" bestFit="1" customWidth="1"/>
    <col min="10" max="10" width="16.83203125" bestFit="1" customWidth="1"/>
    <col min="11" max="11" width="20.6640625" customWidth="1"/>
    <col min="12" max="12" width="18.1640625" bestFit="1" customWidth="1"/>
    <col min="13" max="13" width="15.83203125" bestFit="1" customWidth="1"/>
    <col min="14" max="14" width="15.6640625" bestFit="1" customWidth="1"/>
    <col min="15" max="15" width="15.6640625" customWidth="1"/>
    <col min="16" max="16" width="16.5" customWidth="1"/>
    <col min="17" max="17" width="14.83203125" bestFit="1" customWidth="1"/>
    <col min="18" max="18" width="16" bestFit="1" customWidth="1"/>
    <col min="19" max="19" width="15.83203125" bestFit="1" customWidth="1"/>
    <col min="20" max="20" width="9.1640625" bestFit="1" customWidth="1"/>
    <col min="21" max="21" width="15.1640625" bestFit="1" customWidth="1"/>
    <col min="22" max="22" width="15.1640625" customWidth="1"/>
    <col min="23" max="23" width="15.83203125" bestFit="1" customWidth="1"/>
  </cols>
  <sheetData>
    <row r="2" spans="2:20" x14ac:dyDescent="0.2">
      <c r="B2" s="15" t="s">
        <v>0</v>
      </c>
      <c r="C2" s="15" t="s">
        <v>68</v>
      </c>
      <c r="D2" s="15" t="s">
        <v>69</v>
      </c>
      <c r="E2" s="15" t="s">
        <v>70</v>
      </c>
      <c r="F2" s="15" t="s">
        <v>71</v>
      </c>
      <c r="G2" s="15" t="s">
        <v>72</v>
      </c>
      <c r="H2" s="15" t="s">
        <v>73</v>
      </c>
      <c r="I2" s="15" t="s">
        <v>74</v>
      </c>
      <c r="J2" s="15" t="s">
        <v>75</v>
      </c>
      <c r="K2" s="15" t="s">
        <v>76</v>
      </c>
      <c r="L2" s="15" t="s">
        <v>77</v>
      </c>
      <c r="M2" s="15" t="s">
        <v>78</v>
      </c>
      <c r="N2" s="15" t="s">
        <v>79</v>
      </c>
    </row>
    <row r="3" spans="2:20" x14ac:dyDescent="0.2">
      <c r="B3" s="7">
        <v>9836000</v>
      </c>
      <c r="C3" s="5">
        <v>44168</v>
      </c>
      <c r="D3" s="5">
        <v>46042</v>
      </c>
      <c r="E3" s="1" t="s">
        <v>1</v>
      </c>
      <c r="F3" s="1" t="s">
        <v>2</v>
      </c>
      <c r="G3" s="1">
        <v>4</v>
      </c>
      <c r="H3" s="1" t="s">
        <v>3</v>
      </c>
      <c r="I3" s="1" t="s">
        <v>4</v>
      </c>
      <c r="J3" s="1" t="s">
        <v>2</v>
      </c>
      <c r="K3" s="1">
        <v>4</v>
      </c>
      <c r="L3" s="1" t="s">
        <v>5</v>
      </c>
      <c r="M3" s="1">
        <v>3.403</v>
      </c>
      <c r="N3" s="1" t="s">
        <v>6</v>
      </c>
      <c r="T3" s="2"/>
    </row>
    <row r="4" spans="2:20" x14ac:dyDescent="0.2">
      <c r="B4" s="7">
        <v>5356000</v>
      </c>
      <c r="C4" s="5">
        <v>44349</v>
      </c>
      <c r="D4" s="5">
        <v>49032</v>
      </c>
      <c r="E4" s="1" t="s">
        <v>7</v>
      </c>
      <c r="F4" s="1" t="s">
        <v>2</v>
      </c>
      <c r="G4" s="1">
        <v>12</v>
      </c>
      <c r="H4" s="1" t="s">
        <v>3</v>
      </c>
      <c r="I4" s="1" t="s">
        <v>4</v>
      </c>
      <c r="J4" s="1" t="s">
        <v>2</v>
      </c>
      <c r="K4" s="1">
        <v>12</v>
      </c>
      <c r="L4" s="1" t="s">
        <v>5</v>
      </c>
      <c r="M4" s="1">
        <v>3.8860000000000001</v>
      </c>
      <c r="N4" s="1" t="s">
        <v>8</v>
      </c>
    </row>
    <row r="5" spans="2:20" x14ac:dyDescent="0.2">
      <c r="B5" s="7">
        <v>5055999.9999999991</v>
      </c>
      <c r="C5" s="5">
        <v>45332</v>
      </c>
      <c r="D5" s="5">
        <v>48668</v>
      </c>
      <c r="E5" s="1" t="s">
        <v>9</v>
      </c>
      <c r="F5" s="1" t="s">
        <v>2</v>
      </c>
      <c r="G5" s="1">
        <v>4</v>
      </c>
      <c r="H5" s="1" t="s">
        <v>3</v>
      </c>
      <c r="I5" s="1" t="s">
        <v>4</v>
      </c>
      <c r="J5" s="1" t="s">
        <v>2</v>
      </c>
      <c r="K5" s="1">
        <v>4</v>
      </c>
      <c r="L5" s="1" t="s">
        <v>5</v>
      </c>
      <c r="M5" s="1">
        <v>1.0549999999999999</v>
      </c>
      <c r="N5" s="1" t="s">
        <v>8</v>
      </c>
      <c r="T5" s="2"/>
    </row>
    <row r="6" spans="2:20" x14ac:dyDescent="0.2">
      <c r="B6" s="7">
        <v>9686000</v>
      </c>
      <c r="C6" s="5">
        <v>45469</v>
      </c>
      <c r="D6" s="5">
        <v>50928</v>
      </c>
      <c r="E6" s="1" t="s">
        <v>10</v>
      </c>
      <c r="F6" s="1" t="s">
        <v>2</v>
      </c>
      <c r="G6" s="1">
        <v>1</v>
      </c>
      <c r="H6" s="1" t="s">
        <v>3</v>
      </c>
      <c r="I6" s="1" t="s">
        <v>4</v>
      </c>
      <c r="J6" s="1" t="s">
        <v>2</v>
      </c>
      <c r="K6" s="1">
        <v>1</v>
      </c>
      <c r="L6" s="1" t="s">
        <v>5</v>
      </c>
      <c r="M6" s="1">
        <v>4.4820000000000002</v>
      </c>
      <c r="N6" s="1" t="s">
        <v>6</v>
      </c>
      <c r="T6" s="2"/>
    </row>
    <row r="7" spans="2:20" x14ac:dyDescent="0.2">
      <c r="B7" s="7">
        <v>6822000</v>
      </c>
      <c r="C7" s="5">
        <v>44478</v>
      </c>
      <c r="D7" s="5">
        <v>47691</v>
      </c>
      <c r="E7" s="1" t="s">
        <v>4</v>
      </c>
      <c r="F7" s="1" t="s">
        <v>2</v>
      </c>
      <c r="G7" s="1">
        <v>12</v>
      </c>
      <c r="H7" s="1" t="s">
        <v>5</v>
      </c>
      <c r="I7" s="1" t="s">
        <v>1</v>
      </c>
      <c r="J7" s="1" t="s">
        <v>2</v>
      </c>
      <c r="K7" s="1">
        <v>12</v>
      </c>
      <c r="L7" s="1" t="s">
        <v>3</v>
      </c>
      <c r="M7" s="1">
        <v>1.958</v>
      </c>
      <c r="N7" s="1" t="s">
        <v>6</v>
      </c>
    </row>
    <row r="8" spans="2:20" x14ac:dyDescent="0.2">
      <c r="B8" s="7">
        <v>3726999.9999999995</v>
      </c>
      <c r="C8" s="5">
        <v>44372</v>
      </c>
      <c r="D8" s="5">
        <v>49542</v>
      </c>
      <c r="E8" s="1" t="s">
        <v>4</v>
      </c>
      <c r="F8" s="1" t="s">
        <v>2</v>
      </c>
      <c r="G8" s="1">
        <v>12</v>
      </c>
      <c r="H8" s="1" t="s">
        <v>5</v>
      </c>
      <c r="I8" s="1" t="s">
        <v>7</v>
      </c>
      <c r="J8" s="1" t="s">
        <v>2</v>
      </c>
      <c r="K8" s="1">
        <v>12</v>
      </c>
      <c r="L8" s="1" t="s">
        <v>3</v>
      </c>
      <c r="M8" s="1">
        <v>2.1429999999999998</v>
      </c>
      <c r="N8" s="1" t="s">
        <v>8</v>
      </c>
    </row>
    <row r="9" spans="2:20" x14ac:dyDescent="0.2">
      <c r="B9" s="7">
        <v>3258999.9999999995</v>
      </c>
      <c r="C9" s="5">
        <v>44147</v>
      </c>
      <c r="D9" s="5">
        <v>46122</v>
      </c>
      <c r="E9" s="1" t="s">
        <v>4</v>
      </c>
      <c r="F9" s="1" t="s">
        <v>2</v>
      </c>
      <c r="G9" s="1">
        <v>12</v>
      </c>
      <c r="H9" s="1" t="s">
        <v>5</v>
      </c>
      <c r="I9" s="1" t="s">
        <v>1</v>
      </c>
      <c r="J9" s="1" t="s">
        <v>2</v>
      </c>
      <c r="K9" s="1">
        <v>12</v>
      </c>
      <c r="L9" s="1" t="s">
        <v>3</v>
      </c>
      <c r="M9" s="1">
        <v>4.2409999999999997</v>
      </c>
      <c r="N9" s="1" t="s">
        <v>6</v>
      </c>
    </row>
    <row r="10" spans="2:20" x14ac:dyDescent="0.2">
      <c r="B10" s="7">
        <v>880000.00000000012</v>
      </c>
      <c r="C10" s="5">
        <v>45163</v>
      </c>
      <c r="D10" s="5">
        <v>47491</v>
      </c>
      <c r="E10" s="1" t="s">
        <v>4</v>
      </c>
      <c r="F10" s="1" t="s">
        <v>2</v>
      </c>
      <c r="G10" s="1">
        <v>12</v>
      </c>
      <c r="H10" s="1" t="s">
        <v>5</v>
      </c>
      <c r="I10" s="1" t="s">
        <v>7</v>
      </c>
      <c r="J10" s="1" t="s">
        <v>2</v>
      </c>
      <c r="K10" s="1">
        <v>12</v>
      </c>
      <c r="L10" s="1" t="s">
        <v>3</v>
      </c>
      <c r="M10" s="1">
        <v>2.899</v>
      </c>
      <c r="N10" s="1" t="s">
        <v>8</v>
      </c>
      <c r="T10" s="2"/>
    </row>
    <row r="11" spans="2:20" x14ac:dyDescent="0.2">
      <c r="B11" s="7">
        <v>8081000</v>
      </c>
      <c r="C11" s="5">
        <v>43736</v>
      </c>
      <c r="D11" s="5">
        <v>49248</v>
      </c>
      <c r="E11" s="1" t="s">
        <v>9</v>
      </c>
      <c r="F11" s="1" t="s">
        <v>2</v>
      </c>
      <c r="G11" s="1">
        <f t="shared" ref="G11:G20" si="0">IF(E11="LIB1",12,IF(E11="LIB3",4,IF(E11="FED FUNDS",1,IF(E11="SOFR",4,IF(E11="Fixed",12)))))</f>
        <v>4</v>
      </c>
      <c r="H11" s="1" t="str">
        <f t="shared" ref="H11:H20" si="1">IF(E11="Fixed","30/360","ACT/360")</f>
        <v>ACT/360</v>
      </c>
      <c r="I11" s="1" t="str">
        <f t="shared" ref="I11:I20" si="2">IF(E11="Fixed","LIB1","FIXED")</f>
        <v>FIXED</v>
      </c>
      <c r="J11" s="1" t="s">
        <v>2</v>
      </c>
      <c r="K11" s="1">
        <f t="shared" ref="K11:K20" si="3">IF(E11="Fixed",12,G11)</f>
        <v>4</v>
      </c>
      <c r="L11" s="1" t="str">
        <f t="shared" ref="L11:L20" si="4">IF(I11="Fixed","30/360","ACT/360")</f>
        <v>30/360</v>
      </c>
      <c r="M11" s="8">
        <v>3.375</v>
      </c>
      <c r="N11" s="1" t="str">
        <f t="shared" ref="N11:N20" si="5">IF(OR(E11="SOFR",E11="FED FUNDS"),"In Arrears","In Advance")</f>
        <v>In Advance</v>
      </c>
    </row>
    <row r="12" spans="2:20" x14ac:dyDescent="0.2">
      <c r="B12" s="7">
        <v>355000.00000000006</v>
      </c>
      <c r="C12" s="5">
        <v>44895</v>
      </c>
      <c r="D12" s="5">
        <v>47405</v>
      </c>
      <c r="E12" s="1" t="s">
        <v>9</v>
      </c>
      <c r="F12" s="1" t="s">
        <v>2</v>
      </c>
      <c r="G12" s="1">
        <f t="shared" si="0"/>
        <v>4</v>
      </c>
      <c r="H12" s="1" t="str">
        <f t="shared" si="1"/>
        <v>ACT/360</v>
      </c>
      <c r="I12" s="1" t="str">
        <f t="shared" si="2"/>
        <v>FIXED</v>
      </c>
      <c r="J12" s="1" t="s">
        <v>2</v>
      </c>
      <c r="K12" s="1">
        <f t="shared" si="3"/>
        <v>4</v>
      </c>
      <c r="L12" s="1" t="str">
        <f t="shared" si="4"/>
        <v>30/360</v>
      </c>
      <c r="M12" s="8">
        <v>2.798</v>
      </c>
      <c r="N12" s="1" t="str">
        <f t="shared" si="5"/>
        <v>In Advance</v>
      </c>
      <c r="T12" s="2"/>
    </row>
    <row r="13" spans="2:20" x14ac:dyDescent="0.2">
      <c r="B13" s="7">
        <v>2311000</v>
      </c>
      <c r="C13" s="5">
        <v>44786</v>
      </c>
      <c r="D13" s="5">
        <v>46415</v>
      </c>
      <c r="E13" s="1" t="s">
        <v>1</v>
      </c>
      <c r="F13" s="1" t="s">
        <v>2</v>
      </c>
      <c r="G13" s="1">
        <f>IF(E13="LIB1",12,IF(E13="LIB3",4,IF(E13="FED FUNDS",1,IF(E13="SOFR",4,IF(E13="Fixed",12)))))</f>
        <v>4</v>
      </c>
      <c r="H13" s="1" t="str">
        <f t="shared" si="1"/>
        <v>ACT/360</v>
      </c>
      <c r="I13" s="1" t="str">
        <f t="shared" si="2"/>
        <v>FIXED</v>
      </c>
      <c r="J13" s="1" t="s">
        <v>2</v>
      </c>
      <c r="K13" s="1">
        <f t="shared" si="3"/>
        <v>4</v>
      </c>
      <c r="L13" s="1" t="str">
        <f t="shared" si="4"/>
        <v>30/360</v>
      </c>
      <c r="M13" s="8">
        <v>1.768</v>
      </c>
      <c r="N13" s="1" t="str">
        <f t="shared" si="5"/>
        <v>In Arrears</v>
      </c>
      <c r="T13" s="2"/>
    </row>
    <row r="14" spans="2:20" x14ac:dyDescent="0.2">
      <c r="B14" s="7">
        <v>8260000</v>
      </c>
      <c r="C14" s="5">
        <v>45498</v>
      </c>
      <c r="D14" s="5">
        <v>49536</v>
      </c>
      <c r="E14" s="1" t="s">
        <v>9</v>
      </c>
      <c r="F14" s="1" t="s">
        <v>2</v>
      </c>
      <c r="G14" s="1">
        <f t="shared" si="0"/>
        <v>4</v>
      </c>
      <c r="H14" s="1" t="str">
        <f t="shared" si="1"/>
        <v>ACT/360</v>
      </c>
      <c r="I14" s="1" t="str">
        <f t="shared" si="2"/>
        <v>FIXED</v>
      </c>
      <c r="J14" s="1" t="s">
        <v>2</v>
      </c>
      <c r="K14" s="1">
        <f t="shared" si="3"/>
        <v>4</v>
      </c>
      <c r="L14" s="1" t="str">
        <f t="shared" si="4"/>
        <v>30/360</v>
      </c>
      <c r="M14" s="8">
        <v>3.3490000000000002</v>
      </c>
      <c r="N14" s="1" t="str">
        <f t="shared" si="5"/>
        <v>In Advance</v>
      </c>
      <c r="T14" s="2"/>
    </row>
    <row r="15" spans="2:20" x14ac:dyDescent="0.2">
      <c r="B15" s="7">
        <v>2295000</v>
      </c>
      <c r="C15" s="5">
        <v>43589</v>
      </c>
      <c r="D15" s="5">
        <v>49100</v>
      </c>
      <c r="E15" s="1" t="s">
        <v>1</v>
      </c>
      <c r="F15" s="1" t="s">
        <v>2</v>
      </c>
      <c r="G15" s="1">
        <f t="shared" si="0"/>
        <v>4</v>
      </c>
      <c r="H15" s="1" t="str">
        <f t="shared" si="1"/>
        <v>ACT/360</v>
      </c>
      <c r="I15" s="1" t="str">
        <f t="shared" si="2"/>
        <v>FIXED</v>
      </c>
      <c r="J15" s="1" t="s">
        <v>2</v>
      </c>
      <c r="K15" s="1">
        <f t="shared" si="3"/>
        <v>4</v>
      </c>
      <c r="L15" s="1" t="str">
        <f t="shared" si="4"/>
        <v>30/360</v>
      </c>
      <c r="M15" s="8">
        <v>4.04</v>
      </c>
      <c r="N15" s="1" t="str">
        <f t="shared" si="5"/>
        <v>In Arrears</v>
      </c>
      <c r="T15" s="2"/>
    </row>
    <row r="16" spans="2:20" x14ac:dyDescent="0.2">
      <c r="B16" s="7">
        <v>1512000</v>
      </c>
      <c r="C16" s="5">
        <v>43769</v>
      </c>
      <c r="D16" s="5">
        <v>49147</v>
      </c>
      <c r="E16" s="1" t="s">
        <v>1</v>
      </c>
      <c r="F16" s="1" t="s">
        <v>2</v>
      </c>
      <c r="G16" s="1">
        <f t="shared" si="0"/>
        <v>4</v>
      </c>
      <c r="H16" s="1" t="str">
        <f t="shared" si="1"/>
        <v>ACT/360</v>
      </c>
      <c r="I16" s="1" t="str">
        <f t="shared" si="2"/>
        <v>FIXED</v>
      </c>
      <c r="J16" s="1" t="s">
        <v>2</v>
      </c>
      <c r="K16" s="1">
        <f t="shared" si="3"/>
        <v>4</v>
      </c>
      <c r="L16" s="1" t="str">
        <f t="shared" si="4"/>
        <v>30/360</v>
      </c>
      <c r="M16" s="8">
        <v>3.125</v>
      </c>
      <c r="N16" s="1" t="str">
        <f t="shared" si="5"/>
        <v>In Arrears</v>
      </c>
    </row>
    <row r="17" spans="2:20" x14ac:dyDescent="0.2">
      <c r="B17" s="7">
        <v>7343999.9999999991</v>
      </c>
      <c r="C17" s="5">
        <v>44024</v>
      </c>
      <c r="D17" s="5">
        <v>49714</v>
      </c>
      <c r="E17" s="1" t="s">
        <v>9</v>
      </c>
      <c r="F17" s="1" t="s">
        <v>2</v>
      </c>
      <c r="G17" s="1">
        <f t="shared" si="0"/>
        <v>4</v>
      </c>
      <c r="H17" s="1" t="str">
        <f t="shared" si="1"/>
        <v>ACT/360</v>
      </c>
      <c r="I17" s="1" t="str">
        <f t="shared" si="2"/>
        <v>FIXED</v>
      </c>
      <c r="J17" s="1" t="s">
        <v>2</v>
      </c>
      <c r="K17" s="1">
        <f t="shared" si="3"/>
        <v>4</v>
      </c>
      <c r="L17" s="1" t="str">
        <f t="shared" si="4"/>
        <v>30/360</v>
      </c>
      <c r="M17" s="8">
        <v>2.4870000000000001</v>
      </c>
      <c r="N17" s="1" t="str">
        <f t="shared" si="5"/>
        <v>In Advance</v>
      </c>
    </row>
    <row r="18" spans="2:20" x14ac:dyDescent="0.2">
      <c r="B18" s="7">
        <v>2173000</v>
      </c>
      <c r="C18" s="5">
        <v>45483</v>
      </c>
      <c r="D18" s="5">
        <v>50959</v>
      </c>
      <c r="E18" s="1" t="s">
        <v>1</v>
      </c>
      <c r="F18" s="1" t="s">
        <v>2</v>
      </c>
      <c r="G18" s="1">
        <f t="shared" si="0"/>
        <v>4</v>
      </c>
      <c r="H18" s="1" t="str">
        <f t="shared" si="1"/>
        <v>ACT/360</v>
      </c>
      <c r="I18" s="1" t="str">
        <f t="shared" si="2"/>
        <v>FIXED</v>
      </c>
      <c r="J18" s="1" t="s">
        <v>2</v>
      </c>
      <c r="K18" s="1">
        <f t="shared" si="3"/>
        <v>4</v>
      </c>
      <c r="L18" s="1" t="str">
        <f t="shared" si="4"/>
        <v>30/360</v>
      </c>
      <c r="M18" s="8">
        <v>1.82</v>
      </c>
      <c r="N18" s="1" t="str">
        <f t="shared" si="5"/>
        <v>In Arrears</v>
      </c>
    </row>
    <row r="19" spans="2:20" x14ac:dyDescent="0.2">
      <c r="B19" s="7">
        <v>4577000</v>
      </c>
      <c r="C19" s="5">
        <v>44310</v>
      </c>
      <c r="D19" s="5">
        <v>46240</v>
      </c>
      <c r="E19" s="1" t="s">
        <v>9</v>
      </c>
      <c r="F19" s="1" t="s">
        <v>2</v>
      </c>
      <c r="G19" s="1">
        <f t="shared" si="0"/>
        <v>4</v>
      </c>
      <c r="H19" s="1" t="str">
        <f t="shared" si="1"/>
        <v>ACT/360</v>
      </c>
      <c r="I19" s="1" t="str">
        <f t="shared" si="2"/>
        <v>FIXED</v>
      </c>
      <c r="J19" s="1" t="s">
        <v>2</v>
      </c>
      <c r="K19" s="1">
        <f t="shared" si="3"/>
        <v>4</v>
      </c>
      <c r="L19" s="1" t="str">
        <f t="shared" si="4"/>
        <v>30/360</v>
      </c>
      <c r="M19" s="8">
        <v>4.6710000000000003</v>
      </c>
      <c r="N19" s="1" t="str">
        <f t="shared" si="5"/>
        <v>In Advance</v>
      </c>
    </row>
    <row r="20" spans="2:20" x14ac:dyDescent="0.2">
      <c r="B20" s="7">
        <v>8569000</v>
      </c>
      <c r="C20" s="5">
        <v>45414</v>
      </c>
      <c r="D20" s="5">
        <v>50528</v>
      </c>
      <c r="E20" s="1" t="s">
        <v>9</v>
      </c>
      <c r="F20" s="1" t="s">
        <v>2</v>
      </c>
      <c r="G20" s="1">
        <f t="shared" si="0"/>
        <v>4</v>
      </c>
      <c r="H20" s="1" t="str">
        <f t="shared" si="1"/>
        <v>ACT/360</v>
      </c>
      <c r="I20" s="1" t="str">
        <f t="shared" si="2"/>
        <v>FIXED</v>
      </c>
      <c r="J20" s="1" t="s">
        <v>2</v>
      </c>
      <c r="K20" s="1">
        <f t="shared" si="3"/>
        <v>4</v>
      </c>
      <c r="L20" s="1" t="str">
        <f t="shared" si="4"/>
        <v>30/360</v>
      </c>
      <c r="M20" s="8">
        <v>2.6429999999999998</v>
      </c>
      <c r="N20" s="1" t="str">
        <f t="shared" si="5"/>
        <v>In Advance</v>
      </c>
    </row>
    <row r="21" spans="2:20" x14ac:dyDescent="0.2">
      <c r="B21" s="7">
        <v>2019999.9999999998</v>
      </c>
      <c r="C21" s="5">
        <v>45075</v>
      </c>
      <c r="D21" s="5">
        <v>46313</v>
      </c>
      <c r="E21" s="1" t="s">
        <v>4</v>
      </c>
      <c r="F21" s="1" t="s">
        <v>2</v>
      </c>
      <c r="G21" s="1">
        <v>12</v>
      </c>
      <c r="H21" s="1" t="s">
        <v>5</v>
      </c>
      <c r="I21" s="1" t="s">
        <v>7</v>
      </c>
      <c r="J21" s="1" t="s">
        <v>2</v>
      </c>
      <c r="K21" s="1">
        <v>12</v>
      </c>
      <c r="L21" s="1" t="s">
        <v>3</v>
      </c>
      <c r="M21" s="1">
        <v>3.7080000000000002</v>
      </c>
      <c r="N21" s="1" t="s">
        <v>8</v>
      </c>
    </row>
    <row r="22" spans="2:20" x14ac:dyDescent="0.2">
      <c r="B22" s="7">
        <v>8567000</v>
      </c>
      <c r="C22" s="5">
        <v>44216</v>
      </c>
      <c r="D22" s="5">
        <v>49328</v>
      </c>
      <c r="E22" s="1" t="s">
        <v>4</v>
      </c>
      <c r="F22" s="1" t="s">
        <v>2</v>
      </c>
      <c r="G22" s="1">
        <v>12</v>
      </c>
      <c r="H22" s="1" t="s">
        <v>5</v>
      </c>
      <c r="I22" s="1" t="s">
        <v>7</v>
      </c>
      <c r="J22" s="1" t="s">
        <v>2</v>
      </c>
      <c r="K22" s="1">
        <v>12</v>
      </c>
      <c r="L22" s="1" t="s">
        <v>3</v>
      </c>
      <c r="M22" s="1">
        <v>4.9580000000000002</v>
      </c>
      <c r="N22" s="1" t="s">
        <v>8</v>
      </c>
    </row>
    <row r="23" spans="2:20" x14ac:dyDescent="0.2">
      <c r="B23" s="7">
        <v>5406000</v>
      </c>
      <c r="C23" s="5">
        <v>43674</v>
      </c>
      <c r="D23" s="5">
        <v>48287</v>
      </c>
      <c r="E23" s="1" t="s">
        <v>4</v>
      </c>
      <c r="F23" s="1" t="s">
        <v>2</v>
      </c>
      <c r="G23" s="1">
        <v>12</v>
      </c>
      <c r="H23" s="1" t="s">
        <v>5</v>
      </c>
      <c r="I23" s="1" t="s">
        <v>7</v>
      </c>
      <c r="J23" s="1" t="s">
        <v>2</v>
      </c>
      <c r="K23" s="1">
        <v>12</v>
      </c>
      <c r="L23" s="1" t="s">
        <v>3</v>
      </c>
      <c r="M23" s="1">
        <v>1.8080000000000001</v>
      </c>
      <c r="N23" s="1" t="s">
        <v>8</v>
      </c>
    </row>
    <row r="24" spans="2:20" x14ac:dyDescent="0.2">
      <c r="B24" s="7">
        <v>6824000</v>
      </c>
      <c r="C24" s="5">
        <v>45179</v>
      </c>
      <c r="D24" s="5">
        <v>48619</v>
      </c>
      <c r="E24" s="1" t="s">
        <v>4</v>
      </c>
      <c r="F24" s="1" t="s">
        <v>2</v>
      </c>
      <c r="G24" s="1">
        <v>12</v>
      </c>
      <c r="H24" s="1" t="s">
        <v>5</v>
      </c>
      <c r="I24" s="1" t="s">
        <v>1</v>
      </c>
      <c r="J24" s="1" t="s">
        <v>2</v>
      </c>
      <c r="K24" s="1">
        <v>12</v>
      </c>
      <c r="L24" s="1" t="s">
        <v>3</v>
      </c>
      <c r="M24" s="1">
        <v>4.7640000000000002</v>
      </c>
      <c r="N24" s="1" t="s">
        <v>6</v>
      </c>
    </row>
    <row r="25" spans="2:20" x14ac:dyDescent="0.2">
      <c r="B25" s="7">
        <v>8330999.9999999991</v>
      </c>
      <c r="C25" s="5">
        <v>44557</v>
      </c>
      <c r="D25" s="5">
        <v>49569</v>
      </c>
      <c r="E25" s="1" t="s">
        <v>4</v>
      </c>
      <c r="F25" s="1" t="s">
        <v>2</v>
      </c>
      <c r="G25" s="1">
        <v>12</v>
      </c>
      <c r="H25" s="1" t="s">
        <v>5</v>
      </c>
      <c r="I25" s="1" t="s">
        <v>1</v>
      </c>
      <c r="J25" s="1" t="s">
        <v>2</v>
      </c>
      <c r="K25" s="1">
        <v>12</v>
      </c>
      <c r="L25" s="1" t="s">
        <v>3</v>
      </c>
      <c r="M25" s="1">
        <v>4.0019999999999998</v>
      </c>
      <c r="N25" s="1" t="s">
        <v>6</v>
      </c>
      <c r="T25" s="2"/>
    </row>
    <row r="26" spans="2:20" x14ac:dyDescent="0.2">
      <c r="B26" s="7">
        <v>407000</v>
      </c>
      <c r="C26" s="5">
        <v>43957</v>
      </c>
      <c r="D26" s="5">
        <v>46999</v>
      </c>
      <c r="E26" s="1" t="s">
        <v>4</v>
      </c>
      <c r="F26" s="1" t="s">
        <v>2</v>
      </c>
      <c r="G26" s="1">
        <v>12</v>
      </c>
      <c r="H26" s="1" t="s">
        <v>5</v>
      </c>
      <c r="I26" s="1" t="s">
        <v>7</v>
      </c>
      <c r="J26" s="1" t="s">
        <v>2</v>
      </c>
      <c r="K26" s="1">
        <v>12</v>
      </c>
      <c r="L26" s="1" t="s">
        <v>3</v>
      </c>
      <c r="M26" s="1">
        <v>2.6509999999999998</v>
      </c>
      <c r="N26" s="1" t="s">
        <v>8</v>
      </c>
    </row>
    <row r="27" spans="2:20" x14ac:dyDescent="0.2">
      <c r="B27" s="7">
        <v>8905000</v>
      </c>
      <c r="C27" s="5">
        <v>45402</v>
      </c>
      <c r="D27" s="5">
        <v>48480</v>
      </c>
      <c r="E27" s="1" t="s">
        <v>4</v>
      </c>
      <c r="F27" s="1" t="s">
        <v>2</v>
      </c>
      <c r="G27" s="1">
        <v>12</v>
      </c>
      <c r="H27" s="1" t="s">
        <v>5</v>
      </c>
      <c r="I27" s="1" t="s">
        <v>7</v>
      </c>
      <c r="J27" s="1" t="s">
        <v>2</v>
      </c>
      <c r="K27" s="1">
        <v>12</v>
      </c>
      <c r="L27" s="1" t="s">
        <v>3</v>
      </c>
      <c r="M27" s="1">
        <v>2.2050000000000001</v>
      </c>
      <c r="N27" s="1" t="s">
        <v>8</v>
      </c>
      <c r="T27" s="2"/>
    </row>
    <row r="28" spans="2:20" x14ac:dyDescent="0.2">
      <c r="B28" s="7">
        <v>3384999.9999999995</v>
      </c>
      <c r="C28" s="5">
        <v>44984</v>
      </c>
      <c r="D28" s="5">
        <v>47909</v>
      </c>
      <c r="E28" s="1" t="s">
        <v>4</v>
      </c>
      <c r="F28" s="1" t="s">
        <v>2</v>
      </c>
      <c r="G28" s="1">
        <v>12</v>
      </c>
      <c r="H28" s="1" t="s">
        <v>5</v>
      </c>
      <c r="I28" s="1" t="s">
        <v>1</v>
      </c>
      <c r="J28" s="1" t="s">
        <v>2</v>
      </c>
      <c r="K28" s="1">
        <v>12</v>
      </c>
      <c r="L28" s="1" t="s">
        <v>3</v>
      </c>
      <c r="M28" s="1">
        <v>3.7970000000000002</v>
      </c>
      <c r="N28" s="1" t="s">
        <v>6</v>
      </c>
    </row>
    <row r="29" spans="2:20" x14ac:dyDescent="0.2">
      <c r="B29" s="7">
        <v>5072000</v>
      </c>
      <c r="C29" s="5">
        <v>44330</v>
      </c>
      <c r="D29" s="5">
        <v>47618</v>
      </c>
      <c r="E29" s="1" t="s">
        <v>4</v>
      </c>
      <c r="F29" s="1" t="s">
        <v>2</v>
      </c>
      <c r="G29" s="1">
        <v>12</v>
      </c>
      <c r="H29" s="1" t="s">
        <v>5</v>
      </c>
      <c r="I29" s="1" t="s">
        <v>7</v>
      </c>
      <c r="J29" s="1" t="s">
        <v>2</v>
      </c>
      <c r="K29" s="1">
        <v>12</v>
      </c>
      <c r="L29" s="1" t="s">
        <v>3</v>
      </c>
      <c r="M29" s="1">
        <v>1.044</v>
      </c>
      <c r="N29" s="1" t="s">
        <v>8</v>
      </c>
      <c r="T29" s="2"/>
    </row>
    <row r="30" spans="2:20" x14ac:dyDescent="0.2">
      <c r="B30" s="7">
        <v>3977000</v>
      </c>
      <c r="C30" s="5">
        <v>44337</v>
      </c>
      <c r="D30" s="5">
        <v>49553</v>
      </c>
      <c r="E30" s="1" t="s">
        <v>4</v>
      </c>
      <c r="F30" s="1" t="s">
        <v>2</v>
      </c>
      <c r="G30" s="1">
        <v>12</v>
      </c>
      <c r="H30" s="1" t="s">
        <v>5</v>
      </c>
      <c r="I30" s="1" t="s">
        <v>1</v>
      </c>
      <c r="J30" s="1" t="s">
        <v>2</v>
      </c>
      <c r="K30" s="1">
        <v>12</v>
      </c>
      <c r="L30" s="1" t="s">
        <v>3</v>
      </c>
      <c r="M30" s="1">
        <v>2.2149999999999999</v>
      </c>
      <c r="N30" s="1" t="s">
        <v>6</v>
      </c>
    </row>
    <row r="31" spans="2:20" x14ac:dyDescent="0.2">
      <c r="B31" s="7">
        <v>1101000</v>
      </c>
      <c r="C31" s="5">
        <v>44662</v>
      </c>
      <c r="D31" s="5">
        <v>46045</v>
      </c>
      <c r="E31" s="1" t="s">
        <v>4</v>
      </c>
      <c r="F31" s="1" t="s">
        <v>2</v>
      </c>
      <c r="G31" s="1">
        <v>12</v>
      </c>
      <c r="H31" s="1" t="s">
        <v>5</v>
      </c>
      <c r="I31" s="1" t="s">
        <v>7</v>
      </c>
      <c r="J31" s="1" t="s">
        <v>2</v>
      </c>
      <c r="K31" s="1">
        <v>12</v>
      </c>
      <c r="L31" s="1" t="s">
        <v>3</v>
      </c>
      <c r="M31" s="1">
        <v>3.3359999999999999</v>
      </c>
      <c r="N31" s="1" t="s">
        <v>8</v>
      </c>
    </row>
    <row r="32" spans="2:20" x14ac:dyDescent="0.2">
      <c r="B32" s="7">
        <v>7826000</v>
      </c>
      <c r="C32" s="5">
        <v>44391</v>
      </c>
      <c r="D32" s="5">
        <v>49191</v>
      </c>
      <c r="E32" s="1" t="s">
        <v>10</v>
      </c>
      <c r="F32" s="1" t="s">
        <v>2</v>
      </c>
      <c r="G32" s="1">
        <f t="shared" ref="G32" si="6">IF(E32="LIB1",12,IF(E32="LIB3",4,IF(E32="FED FUNDS",1,IF(E32="SOFR",4,IF(E32="Fixed",12)))))</f>
        <v>1</v>
      </c>
      <c r="H32" s="1" t="str">
        <f t="shared" ref="H32" si="7">IF(E32="Fixed","30/360","ACT/360")</f>
        <v>ACT/360</v>
      </c>
      <c r="I32" s="1" t="str">
        <f t="shared" ref="I32" si="8">IF(E32="Fixed","LIB1","FIXED")</f>
        <v>FIXED</v>
      </c>
      <c r="J32" s="1" t="s">
        <v>2</v>
      </c>
      <c r="K32" s="1">
        <f t="shared" ref="K32" si="9">IF(E32="Fixed",12,G32)</f>
        <v>1</v>
      </c>
      <c r="L32" s="1" t="str">
        <f t="shared" ref="L32" si="10">IF(I32="Fixed","30/360","ACT/360")</f>
        <v>30/360</v>
      </c>
      <c r="M32" s="8">
        <v>4.3650000000000002</v>
      </c>
      <c r="N32" s="1" t="str">
        <f t="shared" ref="N32" si="11">IF(OR(E32="SOFR",E32="FED FUNDS"),"In Arrears","In Advance")</f>
        <v>In Arrears</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5AF15-B8A9-4EBD-80B6-133C06AE1351}">
  <dimension ref="A2:Z32"/>
  <sheetViews>
    <sheetView workbookViewId="0">
      <selection activeCell="E34" sqref="E34"/>
    </sheetView>
  </sheetViews>
  <sheetFormatPr baseColWidth="10" defaultColWidth="8.83203125" defaultRowHeight="15" x14ac:dyDescent="0.2"/>
  <cols>
    <col min="1" max="1" width="15.83203125" customWidth="1"/>
    <col min="3" max="3" width="9.5" bestFit="1" customWidth="1"/>
    <col min="4" max="4" width="8" bestFit="1" customWidth="1"/>
    <col min="5" max="5" width="6" bestFit="1" customWidth="1"/>
    <col min="6" max="6" width="10.5" bestFit="1" customWidth="1"/>
    <col min="7" max="7" width="8.33203125" bestFit="1" customWidth="1"/>
    <col min="8" max="8" width="11.6640625" bestFit="1" customWidth="1"/>
    <col min="9" max="9" width="12.6640625" bestFit="1" customWidth="1"/>
    <col min="10" max="10" width="10.5" bestFit="1" customWidth="1"/>
    <col min="11" max="11" width="11.33203125" bestFit="1" customWidth="1"/>
    <col min="12" max="12" width="9.6640625" bestFit="1" customWidth="1"/>
    <col min="13" max="13" width="8.83203125" bestFit="1" customWidth="1"/>
    <col min="14" max="14" width="14.1640625" bestFit="1" customWidth="1"/>
    <col min="15" max="15" width="10.1640625" bestFit="1" customWidth="1"/>
    <col min="16" max="16" width="10.6640625" bestFit="1" customWidth="1"/>
    <col min="17" max="17" width="9.5" bestFit="1" customWidth="1"/>
    <col min="18" max="18" width="12.1640625" bestFit="1" customWidth="1"/>
    <col min="19" max="19" width="11.5" bestFit="1" customWidth="1"/>
    <col min="20" max="20" width="9.6640625" bestFit="1" customWidth="1"/>
    <col min="21" max="21" width="8" bestFit="1" customWidth="1"/>
    <col min="22" max="22" width="14.33203125" bestFit="1" customWidth="1"/>
    <col min="23" max="23" width="10.33203125" bestFit="1" customWidth="1"/>
    <col min="24" max="24" width="9.83203125" bestFit="1" customWidth="1"/>
    <col min="25" max="25" width="9.5" bestFit="1" customWidth="1"/>
    <col min="26" max="26" width="12.33203125" bestFit="1" customWidth="1"/>
  </cols>
  <sheetData>
    <row r="2" spans="1:26" x14ac:dyDescent="0.2">
      <c r="A2" s="15" t="s">
        <v>13</v>
      </c>
      <c r="B2" s="15" t="s">
        <v>12</v>
      </c>
      <c r="C2" s="15" t="s">
        <v>80</v>
      </c>
      <c r="D2" s="15" t="s">
        <v>11</v>
      </c>
      <c r="E2" s="15" t="s">
        <v>25</v>
      </c>
      <c r="F2" s="15" t="s">
        <v>14</v>
      </c>
      <c r="G2" s="15" t="s">
        <v>21</v>
      </c>
      <c r="H2" s="15" t="s">
        <v>24</v>
      </c>
      <c r="I2" s="15" t="s">
        <v>81</v>
      </c>
      <c r="J2" s="15" t="s">
        <v>26</v>
      </c>
      <c r="K2" s="15" t="s">
        <v>58</v>
      </c>
      <c r="L2" s="15" t="s">
        <v>15</v>
      </c>
      <c r="M2" s="15" t="s">
        <v>17</v>
      </c>
      <c r="N2" s="15" t="s">
        <v>18</v>
      </c>
      <c r="O2" s="15" t="s">
        <v>16</v>
      </c>
      <c r="P2" s="15" t="s">
        <v>20</v>
      </c>
      <c r="Q2" s="15" t="s">
        <v>59</v>
      </c>
      <c r="R2" s="15" t="s">
        <v>60</v>
      </c>
      <c r="S2" s="15" t="s">
        <v>61</v>
      </c>
      <c r="T2" s="15" t="s">
        <v>19</v>
      </c>
      <c r="U2" s="15" t="s">
        <v>62</v>
      </c>
      <c r="V2" s="15" t="s">
        <v>63</v>
      </c>
      <c r="W2" s="15" t="s">
        <v>64</v>
      </c>
      <c r="X2" s="15" t="s">
        <v>65</v>
      </c>
      <c r="Y2" s="15" t="s">
        <v>66</v>
      </c>
      <c r="Z2" s="15" t="s">
        <v>67</v>
      </c>
    </row>
    <row r="3" spans="1:26" x14ac:dyDescent="0.2">
      <c r="A3" s="1" t="str" cm="1">
        <f t="array" ref="A3">[1]!YBPORT(D3,$D$2:$Z$2,D3:Z3)</f>
        <v>YBP_SWAP1</v>
      </c>
      <c r="B3" s="1" cm="1">
        <f t="array" ref="B3">[1]!YBPRICE(A3,"0o","Market","Price","Swap",F3,"Default","","",,"")</f>
        <v>-3.8228060000000001E-2</v>
      </c>
      <c r="C3" s="1">
        <f>(B3/100)*Portfolio!B3</f>
        <v>-3760.1119816</v>
      </c>
      <c r="D3" s="1" t="s">
        <v>28</v>
      </c>
      <c r="E3" s="1" t="s">
        <v>22</v>
      </c>
      <c r="F3" s="5">
        <f>Portfolio!D3</f>
        <v>46042</v>
      </c>
      <c r="G3" s="1" t="s">
        <v>22</v>
      </c>
      <c r="H3" s="1" t="s">
        <v>22</v>
      </c>
      <c r="I3" s="1" t="s">
        <v>22</v>
      </c>
      <c r="J3" s="1" t="s">
        <v>27</v>
      </c>
      <c r="K3" s="5">
        <f>Portfolio!C3</f>
        <v>44168</v>
      </c>
      <c r="L3" s="1" t="s">
        <v>23</v>
      </c>
      <c r="M3" s="1">
        <f>Portfolio!G3</f>
        <v>4</v>
      </c>
      <c r="N3" s="1" t="str">
        <f>Portfolio!H3</f>
        <v>ACT/360</v>
      </c>
      <c r="O3" s="1" t="str">
        <f>Portfolio!F3</f>
        <v>USD</v>
      </c>
      <c r="P3" s="1" t="str">
        <f>Portfolio!E3</f>
        <v>SOFR</v>
      </c>
      <c r="Q3" s="1" t="str">
        <f>IF(Portfolio!N3 = "In Arrears", "ARR", "ADV")</f>
        <v>ARR</v>
      </c>
      <c r="R3" s="1"/>
      <c r="S3" s="5">
        <f>K3</f>
        <v>44168</v>
      </c>
      <c r="T3" s="1" t="str">
        <f>IF(L3="FLOATING", "FIXED", "FLOATING")</f>
        <v>FIXED</v>
      </c>
      <c r="U3" s="1">
        <f>Portfolio!K3</f>
        <v>4</v>
      </c>
      <c r="V3" s="1" t="str">
        <f>Portfolio!L3</f>
        <v>30/360</v>
      </c>
      <c r="W3" s="1" t="str">
        <f>Portfolio!J3</f>
        <v>USD</v>
      </c>
      <c r="X3" s="1"/>
      <c r="Y3" s="1"/>
      <c r="Z3" s="1">
        <f>Portfolio!M3</f>
        <v>3.403</v>
      </c>
    </row>
    <row r="4" spans="1:26" x14ac:dyDescent="0.2">
      <c r="A4" s="1" t="str" cm="1">
        <f t="array" ref="A4">[1]!YBPORT(D4,$D$2:$Z$2,D4:Z4)</f>
        <v>YBP_SWAP2</v>
      </c>
      <c r="B4" s="1" cm="1">
        <f t="array" ref="B4">[1]!YBPRICE(A4,"0o","Market","Price","Swap",F4,"Default","","",,"")</f>
        <v>-2.2887378200000001</v>
      </c>
      <c r="C4" s="1">
        <f>(B4/100)*Portfolio!B4</f>
        <v>-122584.79763920001</v>
      </c>
      <c r="D4" s="1" t="s">
        <v>29</v>
      </c>
      <c r="E4" s="1" t="s">
        <v>22</v>
      </c>
      <c r="F4" s="5">
        <f>Portfolio!D4</f>
        <v>49032</v>
      </c>
      <c r="G4" s="1" t="s">
        <v>22</v>
      </c>
      <c r="H4" s="1" t="s">
        <v>22</v>
      </c>
      <c r="I4" s="1" t="s">
        <v>22</v>
      </c>
      <c r="J4" s="1" t="s">
        <v>27</v>
      </c>
      <c r="K4" s="5">
        <f>Portfolio!C4</f>
        <v>44349</v>
      </c>
      <c r="L4" s="1" t="str">
        <f>IF(Portfolio!E4="FIXED", "FIXED","FLOATING")</f>
        <v>FLOATING</v>
      </c>
      <c r="M4" s="1">
        <f>Portfolio!G4</f>
        <v>12</v>
      </c>
      <c r="N4" s="1" t="str">
        <f>Portfolio!H4</f>
        <v>ACT/360</v>
      </c>
      <c r="O4" s="1" t="str">
        <f>Portfolio!F4</f>
        <v>USD</v>
      </c>
      <c r="P4" s="1" t="str">
        <f>Portfolio!E4</f>
        <v>LIB1</v>
      </c>
      <c r="Q4" s="1" t="str">
        <f>IF(Portfolio!N4 = "In Arrears", "ARR", "ADV")</f>
        <v>ADV</v>
      </c>
      <c r="R4" s="1"/>
      <c r="S4" s="5">
        <f t="shared" ref="S4:S32" si="0">K4</f>
        <v>44349</v>
      </c>
      <c r="T4" s="1" t="str">
        <f t="shared" ref="T4:T32" si="1">IF(L4="FLOATING", "FIXED", "FLOATING")</f>
        <v>FIXED</v>
      </c>
      <c r="U4" s="1">
        <f>Portfolio!K4</f>
        <v>12</v>
      </c>
      <c r="V4" s="1" t="str">
        <f>Portfolio!L4</f>
        <v>30/360</v>
      </c>
      <c r="W4" s="1" t="str">
        <f>Portfolio!J4</f>
        <v>USD</v>
      </c>
      <c r="X4" s="1"/>
      <c r="Y4" s="1"/>
      <c r="Z4" s="1">
        <f>Portfolio!M4</f>
        <v>3.8860000000000001</v>
      </c>
    </row>
    <row r="5" spans="1:26" x14ac:dyDescent="0.2">
      <c r="A5" s="1" t="str" cm="1">
        <f t="array" ref="A5">[1]!YBPORT(D5,$D$2:$Z$2,D5:Z5)</f>
        <v>YBP_SWAP3</v>
      </c>
      <c r="B5" s="1" cm="1">
        <f t="array" ref="B5">[1]!YBPRICE(A5,"0o","Market","Price","Swap",F5,"Default","","",,"")</f>
        <v>-19.974115810000001</v>
      </c>
      <c r="C5" s="1">
        <f>(B5/100)*Portfolio!B5</f>
        <v>-1009891.2953535998</v>
      </c>
      <c r="D5" s="1" t="s">
        <v>30</v>
      </c>
      <c r="E5" s="1" t="s">
        <v>22</v>
      </c>
      <c r="F5" s="5">
        <f>Portfolio!D5</f>
        <v>48668</v>
      </c>
      <c r="G5" s="1" t="s">
        <v>22</v>
      </c>
      <c r="H5" s="1" t="s">
        <v>22</v>
      </c>
      <c r="I5" s="1" t="s">
        <v>22</v>
      </c>
      <c r="J5" s="1" t="s">
        <v>27</v>
      </c>
      <c r="K5" s="5">
        <f>Portfolio!C5</f>
        <v>45332</v>
      </c>
      <c r="L5" s="1" t="str">
        <f>IF(Portfolio!E5="FIXED", "FIXED","FLOATING")</f>
        <v>FLOATING</v>
      </c>
      <c r="M5" s="1">
        <f>Portfolio!G5</f>
        <v>4</v>
      </c>
      <c r="N5" s="1" t="str">
        <f>Portfolio!H5</f>
        <v>ACT/360</v>
      </c>
      <c r="O5" s="1" t="str">
        <f>Portfolio!F5</f>
        <v>USD</v>
      </c>
      <c r="P5" s="1" t="str">
        <f>Portfolio!E5</f>
        <v>LIB3</v>
      </c>
      <c r="Q5" s="1" t="str">
        <f>IF(Portfolio!N5 = "In Arrears", "ARR", "ADV")</f>
        <v>ADV</v>
      </c>
      <c r="R5" s="1"/>
      <c r="S5" s="5">
        <f t="shared" si="0"/>
        <v>45332</v>
      </c>
      <c r="T5" s="1" t="str">
        <f t="shared" si="1"/>
        <v>FIXED</v>
      </c>
      <c r="U5" s="1">
        <f>Portfolio!K5</f>
        <v>4</v>
      </c>
      <c r="V5" s="1" t="str">
        <f>Portfolio!L5</f>
        <v>30/360</v>
      </c>
      <c r="W5" s="1" t="str">
        <f>Portfolio!J5</f>
        <v>USD</v>
      </c>
      <c r="X5" s="1"/>
      <c r="Y5" s="1"/>
      <c r="Z5" s="1">
        <f>Portfolio!M5</f>
        <v>1.0549999999999999</v>
      </c>
    </row>
    <row r="6" spans="1:26" x14ac:dyDescent="0.2">
      <c r="A6" s="1" t="str" cm="1">
        <f t="array" ref="A6">[1]!YBPORT(D6,$D$2:$Z$2,D6:Z6)</f>
        <v>YBP_SWAP4</v>
      </c>
      <c r="B6" s="1" cm="1">
        <f t="array" ref="B6">[1]!YBPRICE(A6,"0o","Market","Price","Swap",F6,"Default","","",,"")</f>
        <v>-2.1351267799999998</v>
      </c>
      <c r="C6" s="1">
        <f>(B6/100)*Portfolio!B6</f>
        <v>-206808.37991079997</v>
      </c>
      <c r="D6" s="1" t="s">
        <v>31</v>
      </c>
      <c r="E6" s="1" t="s">
        <v>22</v>
      </c>
      <c r="F6" s="5">
        <f>Portfolio!D6</f>
        <v>50928</v>
      </c>
      <c r="G6" s="1" t="s">
        <v>22</v>
      </c>
      <c r="H6" s="1" t="s">
        <v>22</v>
      </c>
      <c r="I6" s="1" t="s">
        <v>22</v>
      </c>
      <c r="J6" s="1" t="s">
        <v>27</v>
      </c>
      <c r="K6" s="5">
        <f>Portfolio!C6</f>
        <v>45469</v>
      </c>
      <c r="L6" s="1" t="str">
        <f>IF(Portfolio!E6="FIXED", "FIXED","FLOATING")</f>
        <v>FLOATING</v>
      </c>
      <c r="M6" s="1">
        <f>Portfolio!G6</f>
        <v>1</v>
      </c>
      <c r="N6" s="1" t="str">
        <f>Portfolio!H6</f>
        <v>ACT/360</v>
      </c>
      <c r="O6" s="1" t="str">
        <f>Portfolio!F6</f>
        <v>USD</v>
      </c>
      <c r="P6" s="1" t="str">
        <f>Portfolio!E6</f>
        <v>FED FUNDS</v>
      </c>
      <c r="Q6" s="1" t="str">
        <f>IF(Portfolio!N6 = "In Arrears", "ARR", "ADV")</f>
        <v>ARR</v>
      </c>
      <c r="R6" s="1"/>
      <c r="S6" s="5">
        <f t="shared" si="0"/>
        <v>45469</v>
      </c>
      <c r="T6" s="1" t="str">
        <f t="shared" si="1"/>
        <v>FIXED</v>
      </c>
      <c r="U6" s="1">
        <f>Portfolio!K6</f>
        <v>1</v>
      </c>
      <c r="V6" s="1" t="str">
        <f>Portfolio!L6</f>
        <v>30/360</v>
      </c>
      <c r="W6" s="1" t="str">
        <f>Portfolio!J6</f>
        <v>USD</v>
      </c>
      <c r="X6" s="1"/>
      <c r="Y6" s="1"/>
      <c r="Z6" s="1">
        <f>Portfolio!M6</f>
        <v>4.4820000000000002</v>
      </c>
    </row>
    <row r="7" spans="1:26" x14ac:dyDescent="0.2">
      <c r="A7" s="1" t="str" cm="1">
        <f t="array" ref="A7">[1]!YBPORT(D7,$D$2:$Z$2,D7:Z7)</f>
        <v>YBP_SWAP5</v>
      </c>
      <c r="B7" s="1" cm="1">
        <f t="array" ref="B7">[1]!YBPRICE(A7,"0o","Market","Price","Swap",F7,"Default","","",,"")</f>
        <v>6.1318173299999996</v>
      </c>
      <c r="C7" s="1">
        <f>(B7/100)*Portfolio!B7</f>
        <v>418312.57825259998</v>
      </c>
      <c r="D7" s="1" t="s">
        <v>32</v>
      </c>
      <c r="E7" s="1" t="s">
        <v>22</v>
      </c>
      <c r="F7" s="5">
        <f>Portfolio!D7</f>
        <v>47691</v>
      </c>
      <c r="G7" s="1" t="s">
        <v>22</v>
      </c>
      <c r="H7" s="1" t="s">
        <v>22</v>
      </c>
      <c r="I7" s="1" t="s">
        <v>22</v>
      </c>
      <c r="J7" s="1" t="s">
        <v>27</v>
      </c>
      <c r="K7" s="5">
        <f>Portfolio!C7</f>
        <v>44478</v>
      </c>
      <c r="L7" s="1" t="str">
        <f>IF(Portfolio!E7="FIXED", "FIXED","FLOATING")</f>
        <v>FIXED</v>
      </c>
      <c r="M7" s="1">
        <f>Portfolio!G7</f>
        <v>12</v>
      </c>
      <c r="N7" s="1" t="str">
        <f>Portfolio!H7</f>
        <v>30/360</v>
      </c>
      <c r="O7" s="1" t="str">
        <f>Portfolio!F7</f>
        <v>USD</v>
      </c>
      <c r="P7" s="1"/>
      <c r="Q7" s="1"/>
      <c r="R7" s="1">
        <f>Portfolio!M7</f>
        <v>1.958</v>
      </c>
      <c r="S7" s="5">
        <f t="shared" si="0"/>
        <v>44478</v>
      </c>
      <c r="T7" s="1" t="str">
        <f t="shared" si="1"/>
        <v>FLOATING</v>
      </c>
      <c r="U7" s="1">
        <f>Portfolio!K7</f>
        <v>12</v>
      </c>
      <c r="V7" s="1" t="str">
        <f>Portfolio!L7</f>
        <v>ACT/360</v>
      </c>
      <c r="W7" s="1" t="str">
        <f>Portfolio!J7</f>
        <v>USD</v>
      </c>
      <c r="X7" s="1" t="str">
        <f>Portfolio!I7</f>
        <v>SOFR</v>
      </c>
      <c r="Y7" s="1" t="str">
        <f>IF(Portfolio!N7="In Arrears", "ARR", "ADV")</f>
        <v>ARR</v>
      </c>
      <c r="Z7" s="1"/>
    </row>
    <row r="8" spans="1:26" x14ac:dyDescent="0.2">
      <c r="A8" s="1" t="str" cm="1">
        <f t="array" ref="A8">[1]!YBPORT(D8,$D$2:$Z$2,D8:Z8)</f>
        <v>YBP_SWAP6</v>
      </c>
      <c r="B8" s="1" cm="1">
        <f t="array" ref="B8">[1]!YBPRICE(A8,"0o","Market","Price","Swap",F8,"Default","","",,"")</f>
        <v>48.527362310000001</v>
      </c>
      <c r="C8" s="1">
        <f>(B8/100)*Portfolio!B8</f>
        <v>1808614.7932936999</v>
      </c>
      <c r="D8" s="1" t="s">
        <v>33</v>
      </c>
      <c r="E8" s="1" t="s">
        <v>22</v>
      </c>
      <c r="F8" s="5">
        <f>Portfolio!D8</f>
        <v>49542</v>
      </c>
      <c r="G8" s="1" t="s">
        <v>22</v>
      </c>
      <c r="H8" s="1" t="s">
        <v>22</v>
      </c>
      <c r="I8" s="1" t="s">
        <v>22</v>
      </c>
      <c r="J8" s="1" t="s">
        <v>27</v>
      </c>
      <c r="K8" s="5">
        <f>Portfolio!C8</f>
        <v>44372</v>
      </c>
      <c r="L8" s="1" t="str">
        <f>IF(Portfolio!E8="FIXED", "FIXED","FLOATING")</f>
        <v>FIXED</v>
      </c>
      <c r="M8" s="1">
        <f>Portfolio!G8</f>
        <v>12</v>
      </c>
      <c r="N8" s="1" t="str">
        <f>Portfolio!H8</f>
        <v>30/360</v>
      </c>
      <c r="O8" s="1" t="str">
        <f>Portfolio!F8</f>
        <v>USD</v>
      </c>
      <c r="P8" s="1"/>
      <c r="Q8" s="1"/>
      <c r="R8" s="1">
        <f>Portfolio!M8</f>
        <v>2.1429999999999998</v>
      </c>
      <c r="S8" s="5">
        <f t="shared" si="0"/>
        <v>44372</v>
      </c>
      <c r="T8" s="1" t="str">
        <f t="shared" si="1"/>
        <v>FLOATING</v>
      </c>
      <c r="U8" s="1">
        <f>Portfolio!K8</f>
        <v>12</v>
      </c>
      <c r="V8" s="1" t="str">
        <f>Portfolio!L8</f>
        <v>ACT/360</v>
      </c>
      <c r="W8" s="1" t="str">
        <f>Portfolio!J8</f>
        <v>USD</v>
      </c>
      <c r="X8" s="1" t="str">
        <f>Portfolio!I8</f>
        <v>LIB1</v>
      </c>
      <c r="Y8" s="1" t="str">
        <f>IF(Portfolio!N8="In Arrears", "ARR", "ADV")</f>
        <v>ADV</v>
      </c>
      <c r="Z8" s="1"/>
    </row>
    <row r="9" spans="1:26" x14ac:dyDescent="0.2">
      <c r="A9" s="1" t="str" cm="1">
        <f t="array" ref="A9">[1]!YBPORT(D9,$D$2:$Z$2,D9:Z9)</f>
        <v>YBP_SWAP7</v>
      </c>
      <c r="B9" s="1" cm="1">
        <f t="array" ref="B9">[1]!YBPRICE(A9,"0o","Market","Price","Swap",F9,"Default","","",,"")</f>
        <v>-0.17686769999999999</v>
      </c>
      <c r="C9" s="1">
        <f>(B9/100)*Portfolio!B9</f>
        <v>-5764.1183429999992</v>
      </c>
      <c r="D9" s="1" t="s">
        <v>34</v>
      </c>
      <c r="E9" s="1" t="s">
        <v>22</v>
      </c>
      <c r="F9" s="5">
        <f>Portfolio!D9</f>
        <v>46122</v>
      </c>
      <c r="G9" s="1" t="s">
        <v>22</v>
      </c>
      <c r="H9" s="1" t="s">
        <v>22</v>
      </c>
      <c r="I9" s="1" t="s">
        <v>22</v>
      </c>
      <c r="J9" s="1" t="s">
        <v>27</v>
      </c>
      <c r="K9" s="5">
        <f>Portfolio!C9</f>
        <v>44147</v>
      </c>
      <c r="L9" s="1" t="str">
        <f>IF(Portfolio!E9="FIXED", "FIXED","FLOATING")</f>
        <v>FIXED</v>
      </c>
      <c r="M9" s="1">
        <f>Portfolio!G9</f>
        <v>12</v>
      </c>
      <c r="N9" s="1" t="str">
        <f>Portfolio!H9</f>
        <v>30/360</v>
      </c>
      <c r="O9" s="1" t="str">
        <f>Portfolio!F9</f>
        <v>USD</v>
      </c>
      <c r="P9" s="1"/>
      <c r="Q9" s="1"/>
      <c r="R9" s="1">
        <f>Portfolio!M9</f>
        <v>4.2409999999999997</v>
      </c>
      <c r="S9" s="5">
        <f t="shared" si="0"/>
        <v>44147</v>
      </c>
      <c r="T9" s="1" t="str">
        <f t="shared" si="1"/>
        <v>FLOATING</v>
      </c>
      <c r="U9" s="1">
        <f>Portfolio!K9</f>
        <v>12</v>
      </c>
      <c r="V9" s="1" t="str">
        <f>Portfolio!L9</f>
        <v>ACT/360</v>
      </c>
      <c r="W9" s="1" t="str">
        <f>Portfolio!J9</f>
        <v>USD</v>
      </c>
      <c r="X9" s="1" t="str">
        <f>Portfolio!I9</f>
        <v>SOFR</v>
      </c>
      <c r="Y9" s="1" t="str">
        <f>IF(Portfolio!N9="In Arrears", "ARR", "ADV")</f>
        <v>ARR</v>
      </c>
      <c r="Z9" s="1"/>
    </row>
    <row r="10" spans="1:26" x14ac:dyDescent="0.2">
      <c r="A10" s="1" t="str" cm="1">
        <f t="array" ref="A10">[1]!YBPORT(D10,$D$2:$Z$2,D10:Z10)</f>
        <v>YBP_SWAP8</v>
      </c>
      <c r="B10" s="1" cm="1">
        <f t="array" ref="B10">[1]!YBPRICE(A10,"0o","Market","Price","Swap",F10,"Default","","",,"")</f>
        <v>16.87504028</v>
      </c>
      <c r="C10" s="1">
        <f>(B10/100)*Portfolio!B10</f>
        <v>148500.35446400003</v>
      </c>
      <c r="D10" s="1" t="s">
        <v>35</v>
      </c>
      <c r="E10" s="1" t="s">
        <v>22</v>
      </c>
      <c r="F10" s="5">
        <f>Portfolio!D10</f>
        <v>47491</v>
      </c>
      <c r="G10" s="1" t="s">
        <v>22</v>
      </c>
      <c r="H10" s="1" t="s">
        <v>22</v>
      </c>
      <c r="I10" s="1" t="s">
        <v>22</v>
      </c>
      <c r="J10" s="1" t="s">
        <v>27</v>
      </c>
      <c r="K10" s="5">
        <f>Portfolio!C10</f>
        <v>45163</v>
      </c>
      <c r="L10" s="1" t="str">
        <f>IF(Portfolio!E10="FIXED", "FIXED","FLOATING")</f>
        <v>FIXED</v>
      </c>
      <c r="M10" s="1">
        <f>Portfolio!G10</f>
        <v>12</v>
      </c>
      <c r="N10" s="1" t="str">
        <f>Portfolio!H10</f>
        <v>30/360</v>
      </c>
      <c r="O10" s="1" t="str">
        <f>Portfolio!F10</f>
        <v>USD</v>
      </c>
      <c r="P10" s="1"/>
      <c r="Q10" s="1"/>
      <c r="R10" s="1">
        <f>Portfolio!M10</f>
        <v>2.899</v>
      </c>
      <c r="S10" s="5">
        <f t="shared" si="0"/>
        <v>45163</v>
      </c>
      <c r="T10" s="1" t="str">
        <f t="shared" si="1"/>
        <v>FLOATING</v>
      </c>
      <c r="U10" s="1">
        <f>Portfolio!K10</f>
        <v>12</v>
      </c>
      <c r="V10" s="1" t="str">
        <f>Portfolio!L10</f>
        <v>ACT/360</v>
      </c>
      <c r="W10" s="1" t="str">
        <f>Portfolio!J10</f>
        <v>USD</v>
      </c>
      <c r="X10" s="1" t="str">
        <f>Portfolio!I10</f>
        <v>LIB1</v>
      </c>
      <c r="Y10" s="1" t="str">
        <f>IF(Portfolio!N10="In Arrears", "ARR", "ADV")</f>
        <v>ADV</v>
      </c>
      <c r="Z10" s="1"/>
    </row>
    <row r="11" spans="1:26" x14ac:dyDescent="0.2">
      <c r="A11" s="1" t="str" cm="1">
        <f t="array" ref="A11">[1]!YBPORT(D11,$D$2:$Z$2,D11:Z11)</f>
        <v>YBP_SWAP9</v>
      </c>
      <c r="B11" s="1" cm="1">
        <f t="array" ref="B11">[1]!YBPRICE(A11,"0o","Market","Price","Swap",F11,"Default","","",,"")</f>
        <v>-7.1984395499999998</v>
      </c>
      <c r="C11" s="1">
        <f>(B11/100)*Portfolio!B11</f>
        <v>-581705.90003549994</v>
      </c>
      <c r="D11" s="1" t="s">
        <v>36</v>
      </c>
      <c r="E11" s="1" t="s">
        <v>22</v>
      </c>
      <c r="F11" s="5">
        <f>Portfolio!D11</f>
        <v>49248</v>
      </c>
      <c r="G11" s="1" t="s">
        <v>22</v>
      </c>
      <c r="H11" s="1" t="s">
        <v>22</v>
      </c>
      <c r="I11" s="1" t="s">
        <v>22</v>
      </c>
      <c r="J11" s="1" t="s">
        <v>27</v>
      </c>
      <c r="K11" s="5">
        <f>Portfolio!C11</f>
        <v>43736</v>
      </c>
      <c r="L11" s="1" t="str">
        <f>IF(Portfolio!E11="FIXED", "FIXED","FLOATING")</f>
        <v>FLOATING</v>
      </c>
      <c r="M11" s="1">
        <f>Portfolio!G11</f>
        <v>4</v>
      </c>
      <c r="N11" s="1" t="str">
        <f>Portfolio!H11</f>
        <v>ACT/360</v>
      </c>
      <c r="O11" s="1" t="str">
        <f>Portfolio!F11</f>
        <v>USD</v>
      </c>
      <c r="P11" s="1" t="str">
        <f>Portfolio!E11</f>
        <v>LIB3</v>
      </c>
      <c r="Q11" s="1" t="str">
        <f>IF(Portfolio!N11 = "In Arrears", "ARR", "ADV")</f>
        <v>ADV</v>
      </c>
      <c r="R11" s="1"/>
      <c r="S11" s="5">
        <f t="shared" si="0"/>
        <v>43736</v>
      </c>
      <c r="T11" s="1" t="str">
        <f t="shared" si="1"/>
        <v>FIXED</v>
      </c>
      <c r="U11" s="1">
        <f>Portfolio!K11</f>
        <v>4</v>
      </c>
      <c r="V11" s="1" t="str">
        <f>Portfolio!L11</f>
        <v>30/360</v>
      </c>
      <c r="W11" s="1" t="str">
        <f>Portfolio!J11</f>
        <v>USD</v>
      </c>
      <c r="X11" s="1"/>
      <c r="Y11" s="1"/>
      <c r="Z11" s="1">
        <f>Portfolio!M11</f>
        <v>3.375</v>
      </c>
    </row>
    <row r="12" spans="1:26" x14ac:dyDescent="0.2">
      <c r="A12" s="1" t="str" cm="1">
        <f t="array" ref="A12">[1]!YBPORT(D12,$D$2:$Z$2,D12:Z12)</f>
        <v>YBP_SWAP10</v>
      </c>
      <c r="B12" s="1" cm="1">
        <f t="array" ref="B12">[1]!YBPRICE(A12,"0o","Market","Price","Swap",F12,"Default","","",,"")</f>
        <v>-4.0261407900000004</v>
      </c>
      <c r="C12" s="1">
        <f>(B12/100)*Portfolio!B12</f>
        <v>-14292.799804500004</v>
      </c>
      <c r="D12" s="1" t="s">
        <v>37</v>
      </c>
      <c r="E12" s="1" t="s">
        <v>22</v>
      </c>
      <c r="F12" s="5">
        <f>Portfolio!D12</f>
        <v>47405</v>
      </c>
      <c r="G12" s="1" t="s">
        <v>22</v>
      </c>
      <c r="H12" s="1" t="s">
        <v>22</v>
      </c>
      <c r="I12" s="1" t="s">
        <v>22</v>
      </c>
      <c r="J12" s="1" t="s">
        <v>27</v>
      </c>
      <c r="K12" s="5">
        <f>Portfolio!C12</f>
        <v>44895</v>
      </c>
      <c r="L12" s="1" t="str">
        <f>IF(Portfolio!E12="FIXED", "FIXED","FLOATING")</f>
        <v>FLOATING</v>
      </c>
      <c r="M12" s="1">
        <f>Portfolio!G12</f>
        <v>4</v>
      </c>
      <c r="N12" s="1" t="str">
        <f>Portfolio!H12</f>
        <v>ACT/360</v>
      </c>
      <c r="O12" s="1" t="str">
        <f>Portfolio!F12</f>
        <v>USD</v>
      </c>
      <c r="P12" s="1" t="str">
        <f>Portfolio!E12</f>
        <v>LIB3</v>
      </c>
      <c r="Q12" s="1" t="str">
        <f>IF(Portfolio!N12 = "In Arrears", "ARR", "ADV")</f>
        <v>ADV</v>
      </c>
      <c r="R12" s="1"/>
      <c r="S12" s="5">
        <f t="shared" si="0"/>
        <v>44895</v>
      </c>
      <c r="T12" s="1" t="str">
        <f t="shared" si="1"/>
        <v>FIXED</v>
      </c>
      <c r="U12" s="1">
        <f>Portfolio!K12</f>
        <v>4</v>
      </c>
      <c r="V12" s="1" t="str">
        <f>Portfolio!L12</f>
        <v>30/360</v>
      </c>
      <c r="W12" s="1" t="str">
        <f>Portfolio!J12</f>
        <v>USD</v>
      </c>
      <c r="X12" s="1"/>
      <c r="Y12" s="1"/>
      <c r="Z12" s="1">
        <f>Portfolio!M12</f>
        <v>2.798</v>
      </c>
    </row>
    <row r="13" spans="1:26" x14ac:dyDescent="0.2">
      <c r="A13" s="1" t="str" cm="1">
        <f t="array" ref="A13">[1]!YBPORT(D13,$D$2:$Z$2,D13:Z13)</f>
        <v>YBP_SWAP11</v>
      </c>
      <c r="B13" s="1" cm="1">
        <f t="array" ref="B13">[1]!YBPRICE(A13,"0o","Market","Price","Swap",F13,"Default","","",,"")</f>
        <v>-1.84720738</v>
      </c>
      <c r="C13" s="1">
        <f>(B13/100)*Portfolio!B13</f>
        <v>-42688.962551799996</v>
      </c>
      <c r="D13" s="1" t="s">
        <v>38</v>
      </c>
      <c r="E13" s="1" t="s">
        <v>22</v>
      </c>
      <c r="F13" s="5">
        <f>Portfolio!D13</f>
        <v>46415</v>
      </c>
      <c r="G13" s="1" t="s">
        <v>22</v>
      </c>
      <c r="H13" s="1" t="s">
        <v>22</v>
      </c>
      <c r="I13" s="1" t="s">
        <v>22</v>
      </c>
      <c r="J13" s="1" t="s">
        <v>27</v>
      </c>
      <c r="K13" s="5">
        <f>Portfolio!C13</f>
        <v>44786</v>
      </c>
      <c r="L13" s="1" t="str">
        <f>IF(Portfolio!E13="FIXED", "FIXED","FLOATING")</f>
        <v>FLOATING</v>
      </c>
      <c r="M13" s="1">
        <f>Portfolio!G13</f>
        <v>4</v>
      </c>
      <c r="N13" s="1" t="str">
        <f>Portfolio!H13</f>
        <v>ACT/360</v>
      </c>
      <c r="O13" s="1" t="str">
        <f>Portfolio!F13</f>
        <v>USD</v>
      </c>
      <c r="P13" s="1" t="str">
        <f>Portfolio!E13</f>
        <v>SOFR</v>
      </c>
      <c r="Q13" s="1" t="str">
        <f>IF(Portfolio!N13 = "In Arrears", "ARR", "ADV")</f>
        <v>ARR</v>
      </c>
      <c r="R13" s="1"/>
      <c r="S13" s="5">
        <f t="shared" si="0"/>
        <v>44786</v>
      </c>
      <c r="T13" s="1" t="str">
        <f t="shared" si="1"/>
        <v>FIXED</v>
      </c>
      <c r="U13" s="1">
        <f>Portfolio!K13</f>
        <v>4</v>
      </c>
      <c r="V13" s="1" t="str">
        <f>Portfolio!L13</f>
        <v>30/360</v>
      </c>
      <c r="W13" s="1" t="str">
        <f>Portfolio!J13</f>
        <v>USD</v>
      </c>
      <c r="X13" s="1"/>
      <c r="Y13" s="1"/>
      <c r="Z13" s="1">
        <f>Portfolio!M13</f>
        <v>1.768</v>
      </c>
    </row>
    <row r="14" spans="1:26" x14ac:dyDescent="0.2">
      <c r="A14" s="1" t="str" cm="1">
        <f t="array" ref="A14">[1]!YBPORT(D14,$D$2:$Z$2,D14:Z14)</f>
        <v>YBP_SWAP12</v>
      </c>
      <c r="B14" s="1" cm="1">
        <f t="array" ref="B14">[1]!YBPRICE(A14,"0o","Market","Price","Swap",F14,"Default","","",,"")</f>
        <v>-8.4183486500000004</v>
      </c>
      <c r="C14" s="1">
        <f>(B14/100)*Portfolio!B14</f>
        <v>-695355.59849</v>
      </c>
      <c r="D14" s="1" t="s">
        <v>39</v>
      </c>
      <c r="E14" s="1" t="s">
        <v>22</v>
      </c>
      <c r="F14" s="5">
        <f>Portfolio!D14</f>
        <v>49536</v>
      </c>
      <c r="G14" s="1" t="s">
        <v>22</v>
      </c>
      <c r="H14" s="1" t="s">
        <v>22</v>
      </c>
      <c r="I14" s="1" t="s">
        <v>22</v>
      </c>
      <c r="J14" s="1" t="s">
        <v>27</v>
      </c>
      <c r="K14" s="5">
        <f>Portfolio!C14</f>
        <v>45498</v>
      </c>
      <c r="L14" s="1" t="str">
        <f>IF(Portfolio!E14="FIXED", "FIXED","FLOATING")</f>
        <v>FLOATING</v>
      </c>
      <c r="M14" s="1">
        <f>Portfolio!G14</f>
        <v>4</v>
      </c>
      <c r="N14" s="1" t="str">
        <f>Portfolio!H14</f>
        <v>ACT/360</v>
      </c>
      <c r="O14" s="1" t="str">
        <f>Portfolio!F14</f>
        <v>USD</v>
      </c>
      <c r="P14" s="1" t="str">
        <f>Portfolio!E14</f>
        <v>LIB3</v>
      </c>
      <c r="Q14" s="1" t="str">
        <f>IF(Portfolio!N14 = "In Arrears", "ARR", "ADV")</f>
        <v>ADV</v>
      </c>
      <c r="R14" s="1"/>
      <c r="S14" s="5">
        <f t="shared" si="0"/>
        <v>45498</v>
      </c>
      <c r="T14" s="1" t="str">
        <f t="shared" si="1"/>
        <v>FIXED</v>
      </c>
      <c r="U14" s="1">
        <f>Portfolio!K14</f>
        <v>4</v>
      </c>
      <c r="V14" s="1" t="str">
        <f>Portfolio!L14</f>
        <v>30/360</v>
      </c>
      <c r="W14" s="1" t="str">
        <f>Portfolio!J14</f>
        <v>USD</v>
      </c>
      <c r="X14" s="1"/>
      <c r="Y14" s="1"/>
      <c r="Z14" s="1">
        <f>Portfolio!M14</f>
        <v>3.3490000000000002</v>
      </c>
    </row>
    <row r="15" spans="1:26" x14ac:dyDescent="0.2">
      <c r="A15" s="1" t="str" cm="1">
        <f t="array" ref="A15">[1]!YBPORT(D15,$D$2:$Z$2,D15:Z15)</f>
        <v>YBP_SWAP13</v>
      </c>
      <c r="B15" s="1" cm="1">
        <f t="array" ref="B15">[1]!YBPRICE(A15,"0o","Market","Price","Swap",F15,"Default","","",,"")</f>
        <v>2.8284435700000001</v>
      </c>
      <c r="C15" s="1">
        <f>(B15/100)*Portfolio!B15</f>
        <v>64912.779931500008</v>
      </c>
      <c r="D15" s="1" t="s">
        <v>40</v>
      </c>
      <c r="E15" s="1" t="s">
        <v>22</v>
      </c>
      <c r="F15" s="5">
        <f>Portfolio!D15</f>
        <v>49100</v>
      </c>
      <c r="G15" s="1" t="s">
        <v>22</v>
      </c>
      <c r="H15" s="1" t="s">
        <v>22</v>
      </c>
      <c r="I15" s="1" t="s">
        <v>22</v>
      </c>
      <c r="J15" s="1" t="s">
        <v>27</v>
      </c>
      <c r="K15" s="5">
        <f>Portfolio!C15</f>
        <v>43589</v>
      </c>
      <c r="L15" s="1" t="str">
        <f>IF(Portfolio!E15="FIXED", "FIXED","FLOATING")</f>
        <v>FLOATING</v>
      </c>
      <c r="M15" s="1">
        <f>Portfolio!G15</f>
        <v>4</v>
      </c>
      <c r="N15" s="1" t="str">
        <f>Portfolio!H15</f>
        <v>ACT/360</v>
      </c>
      <c r="O15" s="1" t="str">
        <f>Portfolio!F15</f>
        <v>USD</v>
      </c>
      <c r="P15" s="1" t="str">
        <f>Portfolio!E15</f>
        <v>SOFR</v>
      </c>
      <c r="Q15" s="1" t="str">
        <f>IF(Portfolio!N15 = "In Arrears", "ARR", "ADV")</f>
        <v>ARR</v>
      </c>
      <c r="R15" s="1"/>
      <c r="S15" s="5">
        <f t="shared" si="0"/>
        <v>43589</v>
      </c>
      <c r="T15" s="1" t="str">
        <f t="shared" si="1"/>
        <v>FIXED</v>
      </c>
      <c r="U15" s="1">
        <f>Portfolio!K15</f>
        <v>4</v>
      </c>
      <c r="V15" s="1" t="str">
        <f>Portfolio!L15</f>
        <v>30/360</v>
      </c>
      <c r="W15" s="1" t="str">
        <f>Portfolio!J15</f>
        <v>USD</v>
      </c>
      <c r="X15" s="1"/>
      <c r="Y15" s="1"/>
      <c r="Z15" s="1">
        <f>Portfolio!M15</f>
        <v>4.04</v>
      </c>
    </row>
    <row r="16" spans="1:26" x14ac:dyDescent="0.2">
      <c r="A16" s="1" t="str" cm="1">
        <f t="array" ref="A16">[1]!YBPORT(D16,$D$2:$Z$2,D16:Z16)</f>
        <v>YBP_SWAP14</v>
      </c>
      <c r="B16" s="1" cm="1">
        <f t="array" ref="B16">[1]!YBPRICE(A16,"0o","Market","Price","Swap",F16,"Default","","",,"")</f>
        <v>-3.7837699100000002</v>
      </c>
      <c r="C16" s="1">
        <f>(B16/100)*Portfolio!B16</f>
        <v>-57210.601039200003</v>
      </c>
      <c r="D16" s="1" t="s">
        <v>41</v>
      </c>
      <c r="E16" s="1" t="s">
        <v>22</v>
      </c>
      <c r="F16" s="5">
        <f>Portfolio!D16</f>
        <v>49147</v>
      </c>
      <c r="G16" s="1" t="s">
        <v>22</v>
      </c>
      <c r="H16" s="1" t="s">
        <v>22</v>
      </c>
      <c r="I16" s="1" t="s">
        <v>22</v>
      </c>
      <c r="J16" s="1" t="s">
        <v>27</v>
      </c>
      <c r="K16" s="5">
        <f>Portfolio!C16</f>
        <v>43769</v>
      </c>
      <c r="L16" s="1" t="str">
        <f>IF(Portfolio!E16="FIXED", "FIXED","FLOATING")</f>
        <v>FLOATING</v>
      </c>
      <c r="M16" s="1">
        <f>Portfolio!G16</f>
        <v>4</v>
      </c>
      <c r="N16" s="1" t="str">
        <f>Portfolio!H16</f>
        <v>ACT/360</v>
      </c>
      <c r="O16" s="1" t="str">
        <f>Portfolio!F16</f>
        <v>USD</v>
      </c>
      <c r="P16" s="1" t="str">
        <f>Portfolio!E16</f>
        <v>SOFR</v>
      </c>
      <c r="Q16" s="1" t="str">
        <f>IF(Portfolio!N16 = "In Arrears", "ARR", "ADV")</f>
        <v>ARR</v>
      </c>
      <c r="R16" s="1"/>
      <c r="S16" s="5">
        <f t="shared" si="0"/>
        <v>43769</v>
      </c>
      <c r="T16" s="1" t="str">
        <f t="shared" si="1"/>
        <v>FIXED</v>
      </c>
      <c r="U16" s="1">
        <f>Portfolio!K16</f>
        <v>4</v>
      </c>
      <c r="V16" s="1" t="str">
        <f>Portfolio!L16</f>
        <v>30/360</v>
      </c>
      <c r="W16" s="1" t="str">
        <f>Portfolio!J16</f>
        <v>USD</v>
      </c>
      <c r="X16" s="1"/>
      <c r="Y16" s="1"/>
      <c r="Z16" s="1">
        <f>Portfolio!M16</f>
        <v>3.125</v>
      </c>
    </row>
    <row r="17" spans="1:26" x14ac:dyDescent="0.2">
      <c r="A17" s="1" t="str" cm="1">
        <f t="array" ref="A17">[1]!YBPORT(D17,$D$2:$Z$2,D17:Z17)</f>
        <v>YBP_SWAP15</v>
      </c>
      <c r="B17" s="1" cm="1">
        <f t="array" ref="B17">[1]!YBPRICE(A17,"0o","Market","Price","Swap",F17,"Default","","",,"")</f>
        <v>-16.14212272</v>
      </c>
      <c r="C17" s="1">
        <f>(B17/100)*Portfolio!B17</f>
        <v>-1185477.4925567997</v>
      </c>
      <c r="D17" s="1" t="s">
        <v>42</v>
      </c>
      <c r="E17" s="1" t="s">
        <v>22</v>
      </c>
      <c r="F17" s="5">
        <f>Portfolio!D17</f>
        <v>49714</v>
      </c>
      <c r="G17" s="1" t="s">
        <v>22</v>
      </c>
      <c r="H17" s="1" t="s">
        <v>22</v>
      </c>
      <c r="I17" s="1" t="s">
        <v>22</v>
      </c>
      <c r="J17" s="1" t="s">
        <v>27</v>
      </c>
      <c r="K17" s="5">
        <f>Portfolio!C17</f>
        <v>44024</v>
      </c>
      <c r="L17" s="1" t="str">
        <f>IF(Portfolio!E17="FIXED", "FIXED","FLOATING")</f>
        <v>FLOATING</v>
      </c>
      <c r="M17" s="1">
        <f>Portfolio!G17</f>
        <v>4</v>
      </c>
      <c r="N17" s="1" t="str">
        <f>Portfolio!H17</f>
        <v>ACT/360</v>
      </c>
      <c r="O17" s="1" t="str">
        <f>Portfolio!F17</f>
        <v>USD</v>
      </c>
      <c r="P17" s="1" t="str">
        <f>Portfolio!E17</f>
        <v>LIB3</v>
      </c>
      <c r="Q17" s="1" t="str">
        <f>IF(Portfolio!N17 = "In Arrears", "ARR", "ADV")</f>
        <v>ADV</v>
      </c>
      <c r="R17" s="1"/>
      <c r="S17" s="5">
        <f t="shared" si="0"/>
        <v>44024</v>
      </c>
      <c r="T17" s="1" t="str">
        <f t="shared" si="1"/>
        <v>FIXED</v>
      </c>
      <c r="U17" s="1">
        <f>Portfolio!K17</f>
        <v>4</v>
      </c>
      <c r="V17" s="1" t="str">
        <f>Portfolio!L17</f>
        <v>30/360</v>
      </c>
      <c r="W17" s="1" t="str">
        <f>Portfolio!J17</f>
        <v>USD</v>
      </c>
      <c r="X17" s="1"/>
      <c r="Y17" s="1"/>
      <c r="Z17" s="1">
        <f>Portfolio!M17</f>
        <v>2.4870000000000001</v>
      </c>
    </row>
    <row r="18" spans="1:26" x14ac:dyDescent="0.2">
      <c r="A18" s="1" t="str" cm="1">
        <f t="array" ref="A18">[1]!YBPORT(D18,$D$2:$Z$2,D18:Z18)</f>
        <v>YBP_SWAP16</v>
      </c>
      <c r="B18" s="1" cm="1">
        <f t="array" ref="B18">[1]!YBPRICE(A18,"0o","Market","Price","Swap",F18,"Default","","",,"")</f>
        <v>-21.236818450000001</v>
      </c>
      <c r="C18" s="1">
        <f>(B18/100)*Portfolio!B18</f>
        <v>-461476.06491850002</v>
      </c>
      <c r="D18" s="1" t="s">
        <v>43</v>
      </c>
      <c r="E18" s="1" t="s">
        <v>22</v>
      </c>
      <c r="F18" s="5">
        <f>Portfolio!D18</f>
        <v>50959</v>
      </c>
      <c r="G18" s="1" t="s">
        <v>22</v>
      </c>
      <c r="H18" s="1" t="s">
        <v>22</v>
      </c>
      <c r="I18" s="1" t="s">
        <v>22</v>
      </c>
      <c r="J18" s="1" t="s">
        <v>27</v>
      </c>
      <c r="K18" s="5">
        <f>Portfolio!C18</f>
        <v>45483</v>
      </c>
      <c r="L18" s="1" t="str">
        <f>IF(Portfolio!E18="FIXED", "FIXED","FLOATING")</f>
        <v>FLOATING</v>
      </c>
      <c r="M18" s="1">
        <f>Portfolio!G18</f>
        <v>4</v>
      </c>
      <c r="N18" s="1" t="str">
        <f>Portfolio!H18</f>
        <v>ACT/360</v>
      </c>
      <c r="O18" s="1" t="str">
        <f>Portfolio!F18</f>
        <v>USD</v>
      </c>
      <c r="P18" s="1" t="str">
        <f>Portfolio!E18</f>
        <v>SOFR</v>
      </c>
      <c r="Q18" s="1" t="str">
        <f>IF(Portfolio!N18 = "In Arrears", "ARR", "ADV")</f>
        <v>ARR</v>
      </c>
      <c r="R18" s="1"/>
      <c r="S18" s="5">
        <f t="shared" si="0"/>
        <v>45483</v>
      </c>
      <c r="T18" s="1" t="str">
        <f t="shared" si="1"/>
        <v>FIXED</v>
      </c>
      <c r="U18" s="1">
        <f>Portfolio!K18</f>
        <v>4</v>
      </c>
      <c r="V18" s="1" t="str">
        <f>Portfolio!L18</f>
        <v>30/360</v>
      </c>
      <c r="W18" s="1" t="str">
        <f>Portfolio!J18</f>
        <v>USD</v>
      </c>
      <c r="X18" s="1"/>
      <c r="Y18" s="1"/>
      <c r="Z18" s="1">
        <f>Portfolio!M18</f>
        <v>1.82</v>
      </c>
    </row>
    <row r="19" spans="1:26" x14ac:dyDescent="0.2">
      <c r="A19" s="1" t="str" cm="1">
        <f t="array" ref="A19">[1]!YBPORT(D19,$D$2:$Z$2,D19:Z19)</f>
        <v>YBP_SWAP17</v>
      </c>
      <c r="B19" s="1" cm="1">
        <f t="array" ref="B19">[1]!YBPRICE(A19,"0o","Market","Price","Swap",F19,"Default","","",,"")</f>
        <v>0.44421843</v>
      </c>
      <c r="C19" s="1">
        <f>(B19/100)*Portfolio!B19</f>
        <v>20331.877541099999</v>
      </c>
      <c r="D19" s="1" t="s">
        <v>44</v>
      </c>
      <c r="E19" s="1" t="s">
        <v>22</v>
      </c>
      <c r="F19" s="5">
        <f>Portfolio!D19</f>
        <v>46240</v>
      </c>
      <c r="G19" s="1" t="s">
        <v>22</v>
      </c>
      <c r="H19" s="1" t="s">
        <v>22</v>
      </c>
      <c r="I19" s="1" t="s">
        <v>22</v>
      </c>
      <c r="J19" s="1" t="s">
        <v>27</v>
      </c>
      <c r="K19" s="5">
        <f>Portfolio!C19</f>
        <v>44310</v>
      </c>
      <c r="L19" s="1" t="str">
        <f>IF(Portfolio!E19="FIXED", "FIXED","FLOATING")</f>
        <v>FLOATING</v>
      </c>
      <c r="M19" s="1">
        <f>Portfolio!G19</f>
        <v>4</v>
      </c>
      <c r="N19" s="1" t="str">
        <f>Portfolio!H19</f>
        <v>ACT/360</v>
      </c>
      <c r="O19" s="1" t="str">
        <f>Portfolio!F19</f>
        <v>USD</v>
      </c>
      <c r="P19" s="1" t="str">
        <f>Portfolio!E19</f>
        <v>LIB3</v>
      </c>
      <c r="Q19" s="1" t="str">
        <f>IF(Portfolio!N19 = "In Arrears", "ARR", "ADV")</f>
        <v>ADV</v>
      </c>
      <c r="R19" s="1"/>
      <c r="S19" s="5">
        <f t="shared" si="0"/>
        <v>44310</v>
      </c>
      <c r="T19" s="1" t="str">
        <f t="shared" si="1"/>
        <v>FIXED</v>
      </c>
      <c r="U19" s="1">
        <f>Portfolio!K19</f>
        <v>4</v>
      </c>
      <c r="V19" s="1" t="str">
        <f>Portfolio!L19</f>
        <v>30/360</v>
      </c>
      <c r="W19" s="1" t="str">
        <f>Portfolio!J19</f>
        <v>USD</v>
      </c>
      <c r="X19" s="1"/>
      <c r="Y19" s="1"/>
      <c r="Z19" s="1">
        <f>Portfolio!M19</f>
        <v>4.6710000000000003</v>
      </c>
    </row>
    <row r="20" spans="1:26" x14ac:dyDescent="0.2">
      <c r="A20" s="1" t="str" cm="1">
        <f t="array" ref="A20">[1]!YBPORT(D20,$D$2:$Z$2,D20:Z20)</f>
        <v>YBP_SWAP18</v>
      </c>
      <c r="B20" s="1" cm="1">
        <f t="array" ref="B20">[1]!YBPRICE(A20,"0o","Market","Price","Swap",F20,"Default","","",,"")</f>
        <v>-18.524427670000001</v>
      </c>
      <c r="C20" s="1">
        <f>(B20/100)*Portfolio!B20</f>
        <v>-1587358.2070423001</v>
      </c>
      <c r="D20" s="1" t="s">
        <v>45</v>
      </c>
      <c r="E20" s="1" t="s">
        <v>22</v>
      </c>
      <c r="F20" s="5">
        <f>Portfolio!D20</f>
        <v>50528</v>
      </c>
      <c r="G20" s="1" t="s">
        <v>22</v>
      </c>
      <c r="H20" s="1" t="s">
        <v>22</v>
      </c>
      <c r="I20" s="1" t="s">
        <v>22</v>
      </c>
      <c r="J20" s="1" t="s">
        <v>27</v>
      </c>
      <c r="K20" s="5">
        <f>Portfolio!C20</f>
        <v>45414</v>
      </c>
      <c r="L20" s="1" t="str">
        <f>IF(Portfolio!E20="FIXED", "FIXED","FLOATING")</f>
        <v>FLOATING</v>
      </c>
      <c r="M20" s="1">
        <f>Portfolio!G20</f>
        <v>4</v>
      </c>
      <c r="N20" s="1" t="str">
        <f>Portfolio!H20</f>
        <v>ACT/360</v>
      </c>
      <c r="O20" s="1" t="str">
        <f>Portfolio!F20</f>
        <v>USD</v>
      </c>
      <c r="P20" s="1" t="str">
        <f>Portfolio!E20</f>
        <v>LIB3</v>
      </c>
      <c r="Q20" s="1" t="str">
        <f>IF(Portfolio!N20 = "In Arrears", "ARR", "ADV")</f>
        <v>ADV</v>
      </c>
      <c r="R20" s="1"/>
      <c r="S20" s="5">
        <f t="shared" si="0"/>
        <v>45414</v>
      </c>
      <c r="T20" s="1" t="str">
        <f t="shared" si="1"/>
        <v>FIXED</v>
      </c>
      <c r="U20" s="1">
        <f>Portfolio!K20</f>
        <v>4</v>
      </c>
      <c r="V20" s="1" t="str">
        <f>Portfolio!L20</f>
        <v>30/360</v>
      </c>
      <c r="W20" s="1" t="str">
        <f>Portfolio!J20</f>
        <v>USD</v>
      </c>
      <c r="X20" s="1"/>
      <c r="Y20" s="1"/>
      <c r="Z20" s="1">
        <f>Portfolio!M20</f>
        <v>2.6429999999999998</v>
      </c>
    </row>
    <row r="21" spans="1:26" x14ac:dyDescent="0.2">
      <c r="A21" s="1" t="str" cm="1">
        <f t="array" ref="A21">[1]!YBPORT(D21,$D$2:$Z$2,D21:Z21)</f>
        <v>YBP_SWAP19</v>
      </c>
      <c r="B21" s="1" cm="1">
        <f t="array" ref="B21">[1]!YBPRICE(A21,"0o","Market","Price","Swap",F21,"Default","","",,"")</f>
        <v>-0.16616793999999999</v>
      </c>
      <c r="C21" s="1">
        <f>(B21/100)*Portfolio!B21</f>
        <v>-3356.5923879999991</v>
      </c>
      <c r="D21" s="1" t="s">
        <v>46</v>
      </c>
      <c r="E21" s="1" t="s">
        <v>22</v>
      </c>
      <c r="F21" s="5">
        <f>Portfolio!D21</f>
        <v>46313</v>
      </c>
      <c r="G21" s="1" t="s">
        <v>22</v>
      </c>
      <c r="H21" s="1" t="s">
        <v>22</v>
      </c>
      <c r="I21" s="1" t="s">
        <v>22</v>
      </c>
      <c r="J21" s="1" t="s">
        <v>27</v>
      </c>
      <c r="K21" s="5">
        <f>Portfolio!C21</f>
        <v>45075</v>
      </c>
      <c r="L21" s="1" t="str">
        <f>IF(Portfolio!E21="FIXED", "FIXED","FLOATING")</f>
        <v>FIXED</v>
      </c>
      <c r="M21" s="1">
        <f>Portfolio!G21</f>
        <v>12</v>
      </c>
      <c r="N21" s="1" t="str">
        <f>Portfolio!H21</f>
        <v>30/360</v>
      </c>
      <c r="O21" s="1" t="str">
        <f>Portfolio!F21</f>
        <v>USD</v>
      </c>
      <c r="P21" s="1"/>
      <c r="Q21" s="1"/>
      <c r="R21" s="1">
        <f>Portfolio!M21</f>
        <v>3.7080000000000002</v>
      </c>
      <c r="S21" s="5">
        <f t="shared" si="0"/>
        <v>45075</v>
      </c>
      <c r="T21" s="1" t="str">
        <f t="shared" si="1"/>
        <v>FLOATING</v>
      </c>
      <c r="U21" s="1">
        <f>Portfolio!K21</f>
        <v>12</v>
      </c>
      <c r="V21" s="1" t="str">
        <f>Portfolio!L21</f>
        <v>ACT/360</v>
      </c>
      <c r="W21" s="1" t="str">
        <f>Portfolio!J21</f>
        <v>USD</v>
      </c>
      <c r="X21" s="1" t="str">
        <f>Portfolio!I21</f>
        <v>LIB1</v>
      </c>
      <c r="Y21" s="1" t="str">
        <f>IF(Portfolio!N21="In Arrears", "ARR", "ADV")</f>
        <v>ADV</v>
      </c>
      <c r="Z21" s="1"/>
    </row>
    <row r="22" spans="1:26" x14ac:dyDescent="0.2">
      <c r="A22" s="1" t="str" cm="1">
        <f t="array" ref="A22">[1]!YBPORT(D22,$D$2:$Z$2,D22:Z22)</f>
        <v>YBP_SWAP20</v>
      </c>
      <c r="B22" s="1" cm="1">
        <f t="array" ref="B22">[1]!YBPRICE(A22,"0o","Market","Price","Swap",F22,"Default","","",,"")</f>
        <v>24.318018469999998</v>
      </c>
      <c r="C22" s="1">
        <f>(B22/100)*Portfolio!B22</f>
        <v>2083324.6423249</v>
      </c>
      <c r="D22" s="1" t="s">
        <v>47</v>
      </c>
      <c r="E22" s="1" t="s">
        <v>22</v>
      </c>
      <c r="F22" s="5">
        <f>Portfolio!D22</f>
        <v>49328</v>
      </c>
      <c r="G22" s="1" t="s">
        <v>22</v>
      </c>
      <c r="H22" s="1" t="s">
        <v>22</v>
      </c>
      <c r="I22" s="1" t="s">
        <v>22</v>
      </c>
      <c r="J22" s="1" t="s">
        <v>27</v>
      </c>
      <c r="K22" s="5">
        <f>Portfolio!C22</f>
        <v>44216</v>
      </c>
      <c r="L22" s="1" t="str">
        <f>IF(Portfolio!E22="FIXED", "FIXED","FLOATING")</f>
        <v>FIXED</v>
      </c>
      <c r="M22" s="1">
        <f>Portfolio!G22</f>
        <v>12</v>
      </c>
      <c r="N22" s="1" t="str">
        <f>Portfolio!H22</f>
        <v>30/360</v>
      </c>
      <c r="O22" s="1" t="str">
        <f>Portfolio!F22</f>
        <v>USD</v>
      </c>
      <c r="P22" s="1"/>
      <c r="Q22" s="1"/>
      <c r="R22" s="1">
        <f>Portfolio!M22</f>
        <v>4.9580000000000002</v>
      </c>
      <c r="S22" s="5">
        <f t="shared" si="0"/>
        <v>44216</v>
      </c>
      <c r="T22" s="1" t="str">
        <f t="shared" si="1"/>
        <v>FLOATING</v>
      </c>
      <c r="U22" s="1">
        <f>Portfolio!K22</f>
        <v>12</v>
      </c>
      <c r="V22" s="1" t="str">
        <f>Portfolio!L22</f>
        <v>ACT/360</v>
      </c>
      <c r="W22" s="1" t="str">
        <f>Portfolio!J22</f>
        <v>USD</v>
      </c>
      <c r="X22" s="1" t="str">
        <f>Portfolio!I22</f>
        <v>LIB1</v>
      </c>
      <c r="Y22" s="1" t="str">
        <f>IF(Portfolio!N22="In Arrears", "ARR", "ADV")</f>
        <v>ADV</v>
      </c>
      <c r="Z22" s="1"/>
    </row>
    <row r="23" spans="1:26" x14ac:dyDescent="0.2">
      <c r="A23" s="1" t="str" cm="1">
        <f t="array" ref="A23">[1]!YBPORT(D23,$D$2:$Z$2,D23:Z23)</f>
        <v>YBP_SWAP21</v>
      </c>
      <c r="B23" s="1" cm="1">
        <f t="array" ref="B23">[1]!YBPRICE(A23,"0o","Market","Price","Swap",F23,"Default","","",,"")</f>
        <v>32.650010960000003</v>
      </c>
      <c r="C23" s="1">
        <f>(B23/100)*Portfolio!B23</f>
        <v>1765059.5924976002</v>
      </c>
      <c r="D23" s="1" t="s">
        <v>48</v>
      </c>
      <c r="E23" s="1" t="s">
        <v>22</v>
      </c>
      <c r="F23" s="5">
        <f>Portfolio!D23</f>
        <v>48287</v>
      </c>
      <c r="G23" s="1" t="s">
        <v>22</v>
      </c>
      <c r="H23" s="1" t="s">
        <v>22</v>
      </c>
      <c r="I23" s="1" t="s">
        <v>22</v>
      </c>
      <c r="J23" s="1" t="s">
        <v>27</v>
      </c>
      <c r="K23" s="5">
        <f>Portfolio!C23</f>
        <v>43674</v>
      </c>
      <c r="L23" s="1" t="str">
        <f>IF(Portfolio!E23="FIXED", "FIXED","FLOATING")</f>
        <v>FIXED</v>
      </c>
      <c r="M23" s="1">
        <f>Portfolio!G23</f>
        <v>12</v>
      </c>
      <c r="N23" s="1" t="str">
        <f>Portfolio!H23</f>
        <v>30/360</v>
      </c>
      <c r="O23" s="1" t="str">
        <f>Portfolio!F23</f>
        <v>USD</v>
      </c>
      <c r="P23" s="1"/>
      <c r="Q23" s="1"/>
      <c r="R23" s="1">
        <f>Portfolio!M23</f>
        <v>1.8080000000000001</v>
      </c>
      <c r="S23" s="5">
        <f t="shared" si="0"/>
        <v>43674</v>
      </c>
      <c r="T23" s="1" t="str">
        <f t="shared" si="1"/>
        <v>FLOATING</v>
      </c>
      <c r="U23" s="1">
        <f>Portfolio!K23</f>
        <v>12</v>
      </c>
      <c r="V23" s="1" t="str">
        <f>Portfolio!L23</f>
        <v>ACT/360</v>
      </c>
      <c r="W23" s="1" t="str">
        <f>Portfolio!J23</f>
        <v>USD</v>
      </c>
      <c r="X23" s="1" t="str">
        <f>Portfolio!I23</f>
        <v>LIB1</v>
      </c>
      <c r="Y23" s="1" t="str">
        <f>IF(Portfolio!N23="In Arrears", "ARR", "ADV")</f>
        <v>ADV</v>
      </c>
      <c r="Z23" s="1"/>
    </row>
    <row r="24" spans="1:26" x14ac:dyDescent="0.2">
      <c r="A24" s="1" t="str" cm="1">
        <f t="array" ref="A24">[1]!YBPORT(D24,$D$2:$Z$2,D24:Z24)</f>
        <v>YBP_SWAP22</v>
      </c>
      <c r="B24" s="1" cm="1">
        <f t="array" ref="B24">[1]!YBPRICE(A24,"0o","Market","Price","Swap",F24,"Default","","",,"")</f>
        <v>-7.4781133899999999</v>
      </c>
      <c r="C24" s="1">
        <f>(B24/100)*Portfolio!B24</f>
        <v>-510306.45773360005</v>
      </c>
      <c r="D24" s="1" t="s">
        <v>49</v>
      </c>
      <c r="E24" s="1" t="s">
        <v>22</v>
      </c>
      <c r="F24" s="5">
        <f>Portfolio!D24</f>
        <v>48619</v>
      </c>
      <c r="G24" s="1" t="s">
        <v>22</v>
      </c>
      <c r="H24" s="1" t="s">
        <v>22</v>
      </c>
      <c r="I24" s="1" t="s">
        <v>22</v>
      </c>
      <c r="J24" s="1" t="s">
        <v>27</v>
      </c>
      <c r="K24" s="5">
        <f>Portfolio!C24</f>
        <v>45179</v>
      </c>
      <c r="L24" s="1" t="str">
        <f>IF(Portfolio!E24="FIXED", "FIXED","FLOATING")</f>
        <v>FIXED</v>
      </c>
      <c r="M24" s="1">
        <f>Portfolio!G24</f>
        <v>12</v>
      </c>
      <c r="N24" s="1" t="str">
        <f>Portfolio!H24</f>
        <v>30/360</v>
      </c>
      <c r="O24" s="1" t="str">
        <f>Portfolio!F24</f>
        <v>USD</v>
      </c>
      <c r="P24" s="1"/>
      <c r="Q24" s="1"/>
      <c r="R24" s="1">
        <f>Portfolio!M24</f>
        <v>4.7640000000000002</v>
      </c>
      <c r="S24" s="5">
        <f t="shared" si="0"/>
        <v>45179</v>
      </c>
      <c r="T24" s="1" t="str">
        <f t="shared" si="1"/>
        <v>FLOATING</v>
      </c>
      <c r="U24" s="1">
        <f>Portfolio!K24</f>
        <v>12</v>
      </c>
      <c r="V24" s="1" t="str">
        <f>Portfolio!L24</f>
        <v>ACT/360</v>
      </c>
      <c r="W24" s="1" t="str">
        <f>Portfolio!J24</f>
        <v>USD</v>
      </c>
      <c r="X24" s="1" t="str">
        <f>Portfolio!I24</f>
        <v>SOFR</v>
      </c>
      <c r="Y24" s="1" t="str">
        <f>IF(Portfolio!N24="In Arrears", "ARR", "ADV")</f>
        <v>ARR</v>
      </c>
      <c r="Z24" s="1"/>
    </row>
    <row r="25" spans="1:26" x14ac:dyDescent="0.2">
      <c r="A25" s="1" t="str" cm="1">
        <f t="array" ref="A25">[1]!YBPORT(D25,$D$2:$Z$2,D25:Z25)</f>
        <v>YBP_SWAP23</v>
      </c>
      <c r="B25" s="1" cm="1">
        <f t="array" ref="B25">[1]!YBPRICE(A25,"0o","Market","Price","Swap",F25,"Default","","",,"")</f>
        <v>-2.38065609</v>
      </c>
      <c r="C25" s="1">
        <f>(B25/100)*Portfolio!B25</f>
        <v>-198332.45885789997</v>
      </c>
      <c r="D25" s="1" t="s">
        <v>50</v>
      </c>
      <c r="E25" s="1" t="s">
        <v>22</v>
      </c>
      <c r="F25" s="5">
        <f>Portfolio!D25</f>
        <v>49569</v>
      </c>
      <c r="G25" s="1" t="s">
        <v>22</v>
      </c>
      <c r="H25" s="1" t="s">
        <v>22</v>
      </c>
      <c r="I25" s="1" t="s">
        <v>22</v>
      </c>
      <c r="J25" s="1" t="s">
        <v>27</v>
      </c>
      <c r="K25" s="5">
        <f>Portfolio!C25</f>
        <v>44557</v>
      </c>
      <c r="L25" s="1" t="str">
        <f>IF(Portfolio!E25="FIXED", "FIXED","FLOATING")</f>
        <v>FIXED</v>
      </c>
      <c r="M25" s="1">
        <f>Portfolio!G25</f>
        <v>12</v>
      </c>
      <c r="N25" s="1" t="str">
        <f>Portfolio!H25</f>
        <v>30/360</v>
      </c>
      <c r="O25" s="1" t="str">
        <f>Portfolio!F25</f>
        <v>USD</v>
      </c>
      <c r="P25" s="1"/>
      <c r="Q25" s="1"/>
      <c r="R25" s="1">
        <f>Portfolio!M25</f>
        <v>4.0019999999999998</v>
      </c>
      <c r="S25" s="5">
        <f t="shared" si="0"/>
        <v>44557</v>
      </c>
      <c r="T25" s="1" t="str">
        <f t="shared" si="1"/>
        <v>FLOATING</v>
      </c>
      <c r="U25" s="1">
        <f>Portfolio!K25</f>
        <v>12</v>
      </c>
      <c r="V25" s="1" t="str">
        <f>Portfolio!L25</f>
        <v>ACT/360</v>
      </c>
      <c r="W25" s="1" t="str">
        <f>Portfolio!J25</f>
        <v>USD</v>
      </c>
      <c r="X25" s="1" t="str">
        <f>Portfolio!I25</f>
        <v>SOFR</v>
      </c>
      <c r="Y25" s="1" t="str">
        <f>IF(Portfolio!N25="In Arrears", "ARR", "ADV")</f>
        <v>ARR</v>
      </c>
      <c r="Z25" s="1"/>
    </row>
    <row r="26" spans="1:26" x14ac:dyDescent="0.2">
      <c r="A26" s="1" t="str" cm="1">
        <f t="array" ref="A26">[1]!YBPORT(D26,$D$2:$Z$2,D26:Z26)</f>
        <v>YBP_SWAP24</v>
      </c>
      <c r="B26" s="1" cm="1">
        <f t="array" ref="B26">[1]!YBPRICE(A26,"0o","Market","Price","Swap",F26,"Default","","",,"")</f>
        <v>11.82092755</v>
      </c>
      <c r="C26" s="1">
        <f>(B26/100)*Portfolio!B26</f>
        <v>48111.175128499999</v>
      </c>
      <c r="D26" s="1" t="s">
        <v>51</v>
      </c>
      <c r="E26" s="1" t="s">
        <v>22</v>
      </c>
      <c r="F26" s="5">
        <f>Portfolio!D26</f>
        <v>46999</v>
      </c>
      <c r="G26" s="1" t="s">
        <v>22</v>
      </c>
      <c r="H26" s="1" t="s">
        <v>22</v>
      </c>
      <c r="I26" s="1" t="s">
        <v>22</v>
      </c>
      <c r="J26" s="1" t="s">
        <v>27</v>
      </c>
      <c r="K26" s="5">
        <f>Portfolio!C26</f>
        <v>43957</v>
      </c>
      <c r="L26" s="1" t="str">
        <f>IF(Portfolio!E26="FIXED", "FIXED","FLOATING")</f>
        <v>FIXED</v>
      </c>
      <c r="M26" s="1">
        <f>Portfolio!G26</f>
        <v>12</v>
      </c>
      <c r="N26" s="1" t="str">
        <f>Portfolio!H26</f>
        <v>30/360</v>
      </c>
      <c r="O26" s="1" t="str">
        <f>Portfolio!F26</f>
        <v>USD</v>
      </c>
      <c r="P26" s="1"/>
      <c r="Q26" s="1"/>
      <c r="R26" s="1">
        <f>Portfolio!M26</f>
        <v>2.6509999999999998</v>
      </c>
      <c r="S26" s="5">
        <f t="shared" si="0"/>
        <v>43957</v>
      </c>
      <c r="T26" s="1" t="str">
        <f t="shared" si="1"/>
        <v>FLOATING</v>
      </c>
      <c r="U26" s="1">
        <f>Portfolio!K26</f>
        <v>12</v>
      </c>
      <c r="V26" s="1" t="str">
        <f>Portfolio!L26</f>
        <v>ACT/360</v>
      </c>
      <c r="W26" s="1" t="str">
        <f>Portfolio!J26</f>
        <v>USD</v>
      </c>
      <c r="X26" s="1" t="str">
        <f>Portfolio!I26</f>
        <v>LIB1</v>
      </c>
      <c r="Y26" s="1" t="str">
        <f>IF(Portfolio!N26="In Arrears", "ARR", "ADV")</f>
        <v>ADV</v>
      </c>
      <c r="Z26" s="1"/>
    </row>
    <row r="27" spans="1:26" x14ac:dyDescent="0.2">
      <c r="A27" s="1" t="str" cm="1">
        <f t="array" ref="A27">[1]!YBPORT(D27,$D$2:$Z$2,D27:Z27)</f>
        <v>YBP_SWAP25</v>
      </c>
      <c r="B27" s="1" cm="1">
        <f t="array" ref="B27">[1]!YBPRICE(A27,"0o","Market","Price","Swap",F27,"Default","","",,"")</f>
        <v>33.426889969999998</v>
      </c>
      <c r="C27" s="1">
        <f>(B27/100)*Portfolio!B27</f>
        <v>2976664.5518284994</v>
      </c>
      <c r="D27" s="1" t="s">
        <v>52</v>
      </c>
      <c r="E27" s="1" t="s">
        <v>22</v>
      </c>
      <c r="F27" s="5">
        <f>Portfolio!D27</f>
        <v>48480</v>
      </c>
      <c r="G27" s="1" t="s">
        <v>22</v>
      </c>
      <c r="H27" s="1" t="s">
        <v>22</v>
      </c>
      <c r="I27" s="1" t="s">
        <v>22</v>
      </c>
      <c r="J27" s="1" t="s">
        <v>27</v>
      </c>
      <c r="K27" s="5">
        <f>Portfolio!C27</f>
        <v>45402</v>
      </c>
      <c r="L27" s="1" t="str">
        <f>IF(Portfolio!E27="FIXED", "FIXED","FLOATING")</f>
        <v>FIXED</v>
      </c>
      <c r="M27" s="1">
        <f>Portfolio!G27</f>
        <v>12</v>
      </c>
      <c r="N27" s="1" t="str">
        <f>Portfolio!H27</f>
        <v>30/360</v>
      </c>
      <c r="O27" s="1" t="str">
        <f>Portfolio!F27</f>
        <v>USD</v>
      </c>
      <c r="P27" s="1"/>
      <c r="Q27" s="1"/>
      <c r="R27" s="1">
        <f>Portfolio!M27</f>
        <v>2.2050000000000001</v>
      </c>
      <c r="S27" s="5">
        <f t="shared" si="0"/>
        <v>45402</v>
      </c>
      <c r="T27" s="1" t="str">
        <f t="shared" si="1"/>
        <v>FLOATING</v>
      </c>
      <c r="U27" s="1">
        <f>Portfolio!K27</f>
        <v>12</v>
      </c>
      <c r="V27" s="1" t="str">
        <f>Portfolio!L27</f>
        <v>ACT/360</v>
      </c>
      <c r="W27" s="1" t="str">
        <f>Portfolio!J27</f>
        <v>USD</v>
      </c>
      <c r="X27" s="1" t="str">
        <f>Portfolio!I27</f>
        <v>LIB1</v>
      </c>
      <c r="Y27" s="1" t="str">
        <f>IF(Portfolio!N27="In Arrears", "ARR", "ADV")</f>
        <v>ADV</v>
      </c>
      <c r="Z27" s="1"/>
    </row>
    <row r="28" spans="1:26" x14ac:dyDescent="0.2">
      <c r="A28" s="1" t="str" cm="1">
        <f t="array" ref="A28">[1]!YBPORT(D28,$D$2:$Z$2,D28:Z28)</f>
        <v>YBP_SWAP26</v>
      </c>
      <c r="B28" s="1" cm="1">
        <f t="array" ref="B28">[1]!YBPRICE(A28,"0o","Market","Price","Swap",F28,"Default","","",,"")</f>
        <v>-1.68084236</v>
      </c>
      <c r="C28" s="1">
        <f>(B28/100)*Portfolio!B28</f>
        <v>-56896.513885999993</v>
      </c>
      <c r="D28" s="1" t="s">
        <v>53</v>
      </c>
      <c r="E28" s="1" t="s">
        <v>22</v>
      </c>
      <c r="F28" s="5">
        <f>Portfolio!D28</f>
        <v>47909</v>
      </c>
      <c r="G28" s="1" t="s">
        <v>22</v>
      </c>
      <c r="H28" s="1" t="s">
        <v>22</v>
      </c>
      <c r="I28" s="1" t="s">
        <v>22</v>
      </c>
      <c r="J28" s="1" t="s">
        <v>27</v>
      </c>
      <c r="K28" s="5">
        <f>Portfolio!C28</f>
        <v>44984</v>
      </c>
      <c r="L28" s="1" t="str">
        <f>IF(Portfolio!E28="FIXED", "FIXED","FLOATING")</f>
        <v>FIXED</v>
      </c>
      <c r="M28" s="1">
        <f>Portfolio!G28</f>
        <v>12</v>
      </c>
      <c r="N28" s="1" t="str">
        <f>Portfolio!H28</f>
        <v>30/360</v>
      </c>
      <c r="O28" s="1" t="str">
        <f>Portfolio!F28</f>
        <v>USD</v>
      </c>
      <c r="P28" s="1"/>
      <c r="Q28" s="1"/>
      <c r="R28" s="1">
        <f>Portfolio!M28</f>
        <v>3.7970000000000002</v>
      </c>
      <c r="S28" s="5">
        <f t="shared" si="0"/>
        <v>44984</v>
      </c>
      <c r="T28" s="1" t="str">
        <f t="shared" si="1"/>
        <v>FLOATING</v>
      </c>
      <c r="U28" s="1">
        <f>Portfolio!K28</f>
        <v>12</v>
      </c>
      <c r="V28" s="1" t="str">
        <f>Portfolio!L28</f>
        <v>ACT/360</v>
      </c>
      <c r="W28" s="1" t="str">
        <f>Portfolio!J28</f>
        <v>USD</v>
      </c>
      <c r="X28" s="1" t="str">
        <f>Portfolio!I28</f>
        <v>SOFR</v>
      </c>
      <c r="Y28" s="1" t="str">
        <f>IF(Portfolio!N28="In Arrears", "ARR", "ADV")</f>
        <v>ARR</v>
      </c>
      <c r="Z28" s="1"/>
    </row>
    <row r="29" spans="1:26" x14ac:dyDescent="0.2">
      <c r="A29" s="1" t="str" cm="1">
        <f t="array" ref="A29">[1]!YBPORT(D29,$D$2:$Z$2,D29:Z29)</f>
        <v>YBP_SWAP27</v>
      </c>
      <c r="B29" s="1" cm="1">
        <f t="array" ref="B29">[1]!YBPRICE(A29,"0o","Market","Price","Swap",F29,"Default","","",,"")</f>
        <v>8.6850810000000003</v>
      </c>
      <c r="C29" s="1">
        <f>(B29/100)*Portfolio!B29</f>
        <v>440507.30832000001</v>
      </c>
      <c r="D29" s="1" t="s">
        <v>54</v>
      </c>
      <c r="E29" s="1" t="s">
        <v>22</v>
      </c>
      <c r="F29" s="5">
        <f>Portfolio!D29</f>
        <v>47618</v>
      </c>
      <c r="G29" s="1" t="s">
        <v>22</v>
      </c>
      <c r="H29" s="1" t="s">
        <v>22</v>
      </c>
      <c r="I29" s="1" t="s">
        <v>22</v>
      </c>
      <c r="J29" s="1" t="s">
        <v>27</v>
      </c>
      <c r="K29" s="5">
        <f>Portfolio!C29</f>
        <v>44330</v>
      </c>
      <c r="L29" s="1" t="str">
        <f>IF(Portfolio!E29="FIXED", "FIXED","FLOATING")</f>
        <v>FIXED</v>
      </c>
      <c r="M29" s="1">
        <f>Portfolio!G29</f>
        <v>12</v>
      </c>
      <c r="N29" s="1" t="str">
        <f>Portfolio!H29</f>
        <v>30/360</v>
      </c>
      <c r="O29" s="1" t="str">
        <f>Portfolio!F29</f>
        <v>USD</v>
      </c>
      <c r="P29" s="1"/>
      <c r="Q29" s="1"/>
      <c r="R29" s="1">
        <f>Portfolio!M29</f>
        <v>1.044</v>
      </c>
      <c r="S29" s="5">
        <f t="shared" si="0"/>
        <v>44330</v>
      </c>
      <c r="T29" s="1" t="str">
        <f t="shared" si="1"/>
        <v>FLOATING</v>
      </c>
      <c r="U29" s="1">
        <f>Portfolio!K29</f>
        <v>12</v>
      </c>
      <c r="V29" s="1" t="str">
        <f>Portfolio!L29</f>
        <v>ACT/360</v>
      </c>
      <c r="W29" s="1" t="str">
        <f>Portfolio!J29</f>
        <v>USD</v>
      </c>
      <c r="X29" s="1" t="str">
        <f>Portfolio!I29</f>
        <v>LIB1</v>
      </c>
      <c r="Y29" s="1" t="str">
        <f>IF(Portfolio!N29="In Arrears", "ARR", "ADV")</f>
        <v>ADV</v>
      </c>
      <c r="Z29" s="1"/>
    </row>
    <row r="30" spans="1:26" x14ac:dyDescent="0.2">
      <c r="A30" s="1" t="str" cm="1">
        <f t="array" ref="A30">[1]!YBPORT(D30,$D$2:$Z$2,D30:Z30)</f>
        <v>YBP_SWAP28</v>
      </c>
      <c r="B30" s="1" cm="1">
        <f t="array" ref="B30">[1]!YBPRICE(A30,"0o","Market","Price","Swap",F30,"Default","","",,"")</f>
        <v>11.873295669999999</v>
      </c>
      <c r="C30" s="1">
        <f>(B30/100)*Portfolio!B30</f>
        <v>472200.96879589994</v>
      </c>
      <c r="D30" s="1" t="s">
        <v>55</v>
      </c>
      <c r="E30" s="1" t="s">
        <v>22</v>
      </c>
      <c r="F30" s="5">
        <f>Portfolio!D30</f>
        <v>49553</v>
      </c>
      <c r="G30" s="1" t="s">
        <v>22</v>
      </c>
      <c r="H30" s="1" t="s">
        <v>22</v>
      </c>
      <c r="I30" s="1" t="s">
        <v>22</v>
      </c>
      <c r="J30" s="1" t="s">
        <v>27</v>
      </c>
      <c r="K30" s="5">
        <f>Portfolio!C30</f>
        <v>44337</v>
      </c>
      <c r="L30" s="1" t="str">
        <f>IF(Portfolio!E30="FIXED", "FIXED","FLOATING")</f>
        <v>FIXED</v>
      </c>
      <c r="M30" s="1">
        <f>Portfolio!G30</f>
        <v>12</v>
      </c>
      <c r="N30" s="1" t="str">
        <f>Portfolio!H30</f>
        <v>30/360</v>
      </c>
      <c r="O30" s="1" t="str">
        <f>Portfolio!F30</f>
        <v>USD</v>
      </c>
      <c r="P30" s="1"/>
      <c r="Q30" s="1"/>
      <c r="R30" s="1">
        <f>Portfolio!M30</f>
        <v>2.2149999999999999</v>
      </c>
      <c r="S30" s="5">
        <f t="shared" si="0"/>
        <v>44337</v>
      </c>
      <c r="T30" s="1" t="str">
        <f t="shared" si="1"/>
        <v>FLOATING</v>
      </c>
      <c r="U30" s="1">
        <f>Portfolio!K30</f>
        <v>12</v>
      </c>
      <c r="V30" s="1" t="str">
        <f>Portfolio!L30</f>
        <v>ACT/360</v>
      </c>
      <c r="W30" s="1" t="str">
        <f>Portfolio!J30</f>
        <v>USD</v>
      </c>
      <c r="X30" s="1" t="str">
        <f>Portfolio!I30</f>
        <v>SOFR</v>
      </c>
      <c r="Y30" s="1" t="str">
        <f>IF(Portfolio!N30="In Arrears", "ARR", "ADV")</f>
        <v>ARR</v>
      </c>
      <c r="Z30" s="1"/>
    </row>
    <row r="31" spans="1:26" x14ac:dyDescent="0.2">
      <c r="A31" s="1" t="str" cm="1">
        <f t="array" ref="A31">[1]!YBPORT(D31,$D$2:$Z$2,D31:Z31)</f>
        <v>YBP_SWAP29</v>
      </c>
      <c r="B31" s="1" cm="1">
        <f t="array" ref="B31">[1]!YBPRICE(A31,"0o","Market","Price","Swap",F31,"Default","","",,"")</f>
        <v>0.40864049000000002</v>
      </c>
      <c r="C31" s="1">
        <f>(B31/100)*Portfolio!B31</f>
        <v>4499.1317949000004</v>
      </c>
      <c r="D31" s="1" t="s">
        <v>56</v>
      </c>
      <c r="E31" s="1" t="s">
        <v>22</v>
      </c>
      <c r="F31" s="5">
        <f>Portfolio!D31</f>
        <v>46045</v>
      </c>
      <c r="G31" s="1" t="s">
        <v>22</v>
      </c>
      <c r="H31" s="1" t="s">
        <v>22</v>
      </c>
      <c r="I31" s="1" t="s">
        <v>22</v>
      </c>
      <c r="J31" s="1" t="s">
        <v>27</v>
      </c>
      <c r="K31" s="5">
        <f>Portfolio!C31</f>
        <v>44662</v>
      </c>
      <c r="L31" s="1" t="str">
        <f>IF(Portfolio!E31="FIXED", "FIXED","FLOATING")</f>
        <v>FIXED</v>
      </c>
      <c r="M31" s="1">
        <f>Portfolio!G31</f>
        <v>12</v>
      </c>
      <c r="N31" s="1" t="str">
        <f>Portfolio!H31</f>
        <v>30/360</v>
      </c>
      <c r="O31" s="1" t="str">
        <f>Portfolio!F31</f>
        <v>USD</v>
      </c>
      <c r="P31" s="1"/>
      <c r="Q31" s="1"/>
      <c r="R31" s="1">
        <f>Portfolio!M31</f>
        <v>3.3359999999999999</v>
      </c>
      <c r="S31" s="5">
        <f t="shared" si="0"/>
        <v>44662</v>
      </c>
      <c r="T31" s="1" t="str">
        <f t="shared" si="1"/>
        <v>FLOATING</v>
      </c>
      <c r="U31" s="1">
        <f>Portfolio!K31</f>
        <v>12</v>
      </c>
      <c r="V31" s="1" t="str">
        <f>Portfolio!L31</f>
        <v>ACT/360</v>
      </c>
      <c r="W31" s="1" t="str">
        <f>Portfolio!J31</f>
        <v>USD</v>
      </c>
      <c r="X31" s="1" t="str">
        <f>Portfolio!I31</f>
        <v>LIB1</v>
      </c>
      <c r="Y31" s="1" t="str">
        <f>IF(Portfolio!N31="In Arrears", "ARR", "ADV")</f>
        <v>ADV</v>
      </c>
      <c r="Z31" s="1"/>
    </row>
    <row r="32" spans="1:26" x14ac:dyDescent="0.2">
      <c r="A32" s="1" t="str" cm="1">
        <f t="array" ref="A32">[1]!YBPORT(D32,$D$2:$Z$2,D32:Z32)</f>
        <v>YBP_SWAP30</v>
      </c>
      <c r="B32" s="1" cm="1">
        <f t="array" ref="B32">[1]!YBPRICE(A32,"0o","Market","Price","Swap",F32,"Default","","",,"")</f>
        <v>-0.37460868000000003</v>
      </c>
      <c r="C32" s="1">
        <f>(B32/100)*Portfolio!B32</f>
        <v>-29316.875296800001</v>
      </c>
      <c r="D32" s="1" t="s">
        <v>57</v>
      </c>
      <c r="E32" s="1" t="s">
        <v>22</v>
      </c>
      <c r="F32" s="5">
        <f>Portfolio!D32</f>
        <v>49191</v>
      </c>
      <c r="G32" s="1" t="s">
        <v>22</v>
      </c>
      <c r="H32" s="1" t="s">
        <v>22</v>
      </c>
      <c r="I32" s="1" t="s">
        <v>22</v>
      </c>
      <c r="J32" s="1" t="s">
        <v>27</v>
      </c>
      <c r="K32" s="5">
        <f>Portfolio!C32</f>
        <v>44391</v>
      </c>
      <c r="L32" s="1" t="str">
        <f>IF(Portfolio!E32="FIXED", "FIXED","FLOATING")</f>
        <v>FLOATING</v>
      </c>
      <c r="M32" s="1">
        <f>Portfolio!G32</f>
        <v>1</v>
      </c>
      <c r="N32" s="1" t="str">
        <f>Portfolio!H32</f>
        <v>ACT/360</v>
      </c>
      <c r="O32" s="1" t="str">
        <f>Portfolio!F32</f>
        <v>USD</v>
      </c>
      <c r="P32" s="1" t="str">
        <f>Portfolio!E32</f>
        <v>FED FUNDS</v>
      </c>
      <c r="Q32" s="1" t="str">
        <f>IF(Portfolio!N32 = "In Arrears", "ARR", "ADV")</f>
        <v>ARR</v>
      </c>
      <c r="R32" s="1">
        <f>Portfolio!M32</f>
        <v>4.3650000000000002</v>
      </c>
      <c r="S32" s="5">
        <f t="shared" si="0"/>
        <v>44391</v>
      </c>
      <c r="T32" s="1" t="str">
        <f t="shared" si="1"/>
        <v>FIXED</v>
      </c>
      <c r="U32" s="1">
        <f>Portfolio!K32</f>
        <v>1</v>
      </c>
      <c r="V32" s="1" t="str">
        <f>Portfolio!L32</f>
        <v>30/360</v>
      </c>
      <c r="W32" s="1" t="str">
        <f>Portfolio!J32</f>
        <v>USD</v>
      </c>
      <c r="X32" s="1"/>
      <c r="Y32" s="1"/>
      <c r="Z32" s="1">
        <f>Portfolio!M32</f>
        <v>4.3650000000000002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18DEB-09EF-4818-AFC6-579200248A9C}">
  <dimension ref="A1:L70"/>
  <sheetViews>
    <sheetView workbookViewId="0">
      <selection activeCell="B73" sqref="B73"/>
    </sheetView>
  </sheetViews>
  <sheetFormatPr baseColWidth="10" defaultColWidth="13" defaultRowHeight="15" x14ac:dyDescent="0.2"/>
  <cols>
    <col min="1" max="1" width="14.6640625" customWidth="1"/>
    <col min="2" max="2" width="16.5" bestFit="1" customWidth="1"/>
    <col min="3" max="4" width="14.5" bestFit="1" customWidth="1"/>
    <col min="5" max="12" width="13.33203125" bestFit="1" customWidth="1"/>
  </cols>
  <sheetData>
    <row r="1" spans="1:12" x14ac:dyDescent="0.2">
      <c r="A1" t="s">
        <v>82</v>
      </c>
    </row>
    <row r="2" spans="1:12" x14ac:dyDescent="0.2">
      <c r="A2" t="s">
        <v>83</v>
      </c>
    </row>
    <row r="4" spans="1:12" x14ac:dyDescent="0.2">
      <c r="A4" s="15" t="s">
        <v>116</v>
      </c>
      <c r="B4" s="17">
        <v>45688</v>
      </c>
      <c r="C4" s="17">
        <v>45716</v>
      </c>
      <c r="D4" s="17">
        <v>45747</v>
      </c>
      <c r="E4" s="17">
        <v>45777</v>
      </c>
      <c r="F4" s="17">
        <v>45807</v>
      </c>
      <c r="G4" s="17">
        <v>45838</v>
      </c>
      <c r="H4" s="17">
        <v>45869</v>
      </c>
      <c r="I4" s="17">
        <v>45898</v>
      </c>
      <c r="J4" s="17">
        <v>45930</v>
      </c>
      <c r="K4" s="17">
        <v>45961</v>
      </c>
      <c r="L4" s="17">
        <v>45989</v>
      </c>
    </row>
    <row r="5" spans="1:12" x14ac:dyDescent="0.2">
      <c r="A5" s="1" t="str">
        <f>[2]Userbonds!A3</f>
        <v>YBP_SWAP1</v>
      </c>
      <c r="B5" s="9" cm="1">
        <f t="array" ref="B5">[1]!YBPRICE($A5,"0o",B$4,"Price","Swap",B$4,"Default","","",,"")</f>
        <v>-0.72891028999999996</v>
      </c>
      <c r="C5" s="9" cm="1">
        <f t="array" ref="C5">[1]!YBPRICE($A5,"0o",C$4,"Price","Swap",C$4,"Default","","",,"")</f>
        <v>-0.58874941000000003</v>
      </c>
      <c r="D5" s="9" cm="1">
        <f t="array" ref="D5">[1]!YBPRICE($A5,"0o",D$4,"Price","Swap",D$4,"Default","","",,"")</f>
        <v>-0.52827036000000005</v>
      </c>
      <c r="E5" s="9" cm="1">
        <f t="array" ref="E5">[1]!YBPRICE($A5,"0o",E$4,"Price","Swap",E$4,"Default","","",,"")</f>
        <v>-0.38799363999999997</v>
      </c>
      <c r="F5" s="9" cm="1">
        <f t="array" ref="F5">[1]!YBPRICE($A5,"0o",F$4,"Price","Swap",F$4,"Default","","",,"")</f>
        <v>-0.52207364000000001</v>
      </c>
      <c r="G5" s="9" cm="1">
        <f t="array" ref="G5">[1]!YBPRICE($A5,"0o",G$4,"Price","Swap",G$4,"Default","","",,"")</f>
        <v>-0.41352012999999999</v>
      </c>
      <c r="H5" s="9" cm="1">
        <f t="array" ref="H5">[1]!YBPRICE($A5,"0o",H$4,"Price","Swap",H$4,"Default","","",,"")</f>
        <v>-0.42014000000000001</v>
      </c>
      <c r="I5" s="9" cm="1">
        <f t="array" ref="I5">[1]!YBPRICE($A5,"0o",I$4,"Price","Swap",I$4,"Default","","",,"")</f>
        <v>-0.27858517999999999</v>
      </c>
      <c r="J5" s="9" cm="1">
        <f t="array" ref="J5">[1]!YBPRICE($A5,"0o",J$4,"Price","Swap",J$4,"Default","","",,"")</f>
        <v>-0.17622444000000001</v>
      </c>
      <c r="K5" s="9" cm="1">
        <f t="array" ref="K5">[1]!YBPRICE($A5,"0o",K$4,"Price","Swap",K$4,"Default","","",,"")</f>
        <v>-0.11797734</v>
      </c>
      <c r="L5" s="9" cm="1">
        <f t="array" ref="L5">[1]!YBPRICE($A5,"0o",L$4,"Price","Swap",L$4,"Default","","",,"")</f>
        <v>-6.2394030000000003E-2</v>
      </c>
    </row>
    <row r="6" spans="1:12" x14ac:dyDescent="0.2">
      <c r="A6" s="1" t="str">
        <f>[2]Userbonds!A4</f>
        <v>YBP_SWAP2</v>
      </c>
      <c r="B6" s="9" cm="1">
        <f t="array" ref="B6">[1]!YBPRICE($A6,"0o",B$4,"Price","Swap",B$4,"Default","","",,"")</f>
        <v>-2.2521258199999998</v>
      </c>
      <c r="C6" s="9" cm="1">
        <f t="array" ref="C6">[1]!YBPRICE($A6,"0o",C$4,"Price","Swap",C$4,"Default","","",,"")</f>
        <v>7.4878719999999996E-2</v>
      </c>
      <c r="D6" s="9" cm="1">
        <f t="array" ref="D6">[1]!YBPRICE($A6,"0o",D$4,"Price","Swap",D$4,"Default","","",,"")</f>
        <v>0.17380645</v>
      </c>
      <c r="E6" s="9" cm="1">
        <f t="array" ref="E6">[1]!YBPRICE($A6,"0o",E$4,"Price","Swap",E$4,"Default","","",,"")</f>
        <v>1.47646967</v>
      </c>
      <c r="F6" s="9" cm="1">
        <f t="array" ref="F6">[1]!YBPRICE($A6,"0o",F$4,"Price","Swap",F$4,"Default","","",,"")</f>
        <v>-0.13971484000000001</v>
      </c>
      <c r="G6" s="9" cm="1">
        <f t="array" ref="G6">[1]!YBPRICE($A6,"0o",G$4,"Price","Swap",G$4,"Default","","",,"")</f>
        <v>1.2317799700000001</v>
      </c>
      <c r="H6" s="9" cm="1">
        <f t="array" ref="H6">[1]!YBPRICE($A6,"0o",H$4,"Price","Swap",H$4,"Default","","",,"")</f>
        <v>0.22534619</v>
      </c>
      <c r="I6" s="9" cm="1">
        <f t="array" ref="I6">[1]!YBPRICE($A6,"0o",I$4,"Price","Swap",I$4,"Default","","",,"")</f>
        <v>1.45034653</v>
      </c>
      <c r="J6" s="9" cm="1">
        <f t="array" ref="J6">[1]!YBPRICE($A6,"0o",J$4,"Price","Swap",J$4,"Default","","",,"")</f>
        <v>1.5893077099999999</v>
      </c>
      <c r="K6" s="9" cm="1">
        <f t="array" ref="K6">[1]!YBPRICE($A6,"0o",K$4,"Price","Swap",K$4,"Default","","",,"")</f>
        <v>1.45387599</v>
      </c>
      <c r="L6" s="9" cm="1">
        <f t="array" ref="L6">[1]!YBPRICE($A6,"0o",L$4,"Price","Swap",L$4,"Default","","",,"")</f>
        <v>2.0244381100000002</v>
      </c>
    </row>
    <row r="7" spans="1:12" x14ac:dyDescent="0.2">
      <c r="A7" s="1" t="str">
        <f>[2]Userbonds!A5</f>
        <v>YBP_SWAP3</v>
      </c>
      <c r="B7" s="9" cm="1">
        <f t="array" ref="B7">[1]!YBPRICE($A7,"0o",B$4,"Price","Swap",B$4,"Default","","",,"")</f>
        <v>-22.562727580000001</v>
      </c>
      <c r="C7" s="9" cm="1">
        <f t="array" ref="C7">[1]!YBPRICE($A7,"0o",C$4,"Price","Swap",C$4,"Default","","",,"")</f>
        <v>-20.48133395</v>
      </c>
      <c r="D7" s="9" cm="1">
        <f t="array" ref="D7">[1]!YBPRICE($A7,"0o",D$4,"Price","Swap",D$4,"Default","","",,"")</f>
        <v>-20.167634660000001</v>
      </c>
      <c r="E7" s="9" cm="1">
        <f t="array" ref="E7">[1]!YBPRICE($A7,"0o",E$4,"Price","Swap",E$4,"Default","","",,"")</f>
        <v>-18.830292480000001</v>
      </c>
      <c r="F7" s="9" cm="1">
        <f t="array" ref="F7">[1]!YBPRICE($A7,"0o",F$4,"Price","Swap",F$4,"Default","","",,"")</f>
        <v>-19.953387169999999</v>
      </c>
      <c r="G7" s="9" cm="1">
        <f t="array" ref="G7">[1]!YBPRICE($A7,"0o",G$4,"Price","Swap",G$4,"Default","","",,"")</f>
        <v>-18.640388430000002</v>
      </c>
      <c r="H7" s="9" cm="1">
        <f t="array" ref="H7">[1]!YBPRICE($A7,"0o",H$4,"Price","Swap",H$4,"Default","","",,"")</f>
        <v>-19.26747207</v>
      </c>
      <c r="I7" s="9" cm="1">
        <f t="array" ref="I7">[1]!YBPRICE($A7,"0o",I$4,"Price","Swap",I$4,"Default","","",,"")</f>
        <v>-18.025947739999999</v>
      </c>
      <c r="J7" s="9" cm="1">
        <f t="array" ref="J7">[1]!YBPRICE($A7,"0o",J$4,"Price","Swap",J$4,"Default","","",,"")</f>
        <v>-17.790999100000001</v>
      </c>
      <c r="K7" s="9" cm="1">
        <f t="array" ref="K7">[1]!YBPRICE($A7,"0o",K$4,"Price","Swap",K$4,"Default","","",,"")</f>
        <v>-17.73996739</v>
      </c>
      <c r="L7" s="9" cm="1">
        <f t="array" ref="L7">[1]!YBPRICE($A7,"0o",L$4,"Price","Swap",L$4,"Default","","",,"")</f>
        <v>-17.07610159</v>
      </c>
    </row>
    <row r="8" spans="1:12" x14ac:dyDescent="0.2">
      <c r="A8" s="1" t="str">
        <f>[2]Userbonds!A6</f>
        <v>YBP_SWAP4</v>
      </c>
      <c r="B8" s="9" cm="1">
        <f t="array" ref="B8">[1]!YBPRICE($A8,"0o",B$4,"Price","Swap",B$4,"Default","","",,"")</f>
        <v>0.59368198999999999</v>
      </c>
      <c r="C8" s="9" cm="1">
        <f t="array" ref="C8">[1]!YBPRICE($A8,"0o",C$4,"Price","Swap",C$4,"Default","","",,"")</f>
        <v>3.7266345400000001</v>
      </c>
      <c r="D8" s="9" cm="1">
        <f t="array" ref="D8">[1]!YBPRICE($A8,"0o",D$4,"Price","Swap",D$4,"Default","","",,"")</f>
        <v>3.4296254899999998</v>
      </c>
      <c r="E8" s="9" cm="1">
        <f t="array" ref="E8">[1]!YBPRICE($A8,"0o",E$4,"Price","Swap",E$4,"Default","","",,"")</f>
        <v>4.24184581</v>
      </c>
      <c r="F8" s="9" cm="1">
        <f t="array" ref="F8">[1]!YBPRICE($A8,"0o",F$4,"Price","Swap",F$4,"Default","","",,"")</f>
        <v>1.83185025</v>
      </c>
      <c r="G8" s="9" cm="1">
        <f t="array" ref="G8">[1]!YBPRICE($A8,"0o",G$4,"Price","Swap",G$4,"Default","","",,"")</f>
        <v>3.67087568</v>
      </c>
      <c r="H8" s="9" cm="1">
        <f t="array" ref="H8">[1]!YBPRICE($A8,"0o",H$4,"Price","Swap",H$4,"Default","","",,"")</f>
        <v>2.2908352199999999</v>
      </c>
      <c r="I8" s="9" cm="1">
        <f t="array" ref="I8">[1]!YBPRICE($A8,"0o",I$4,"Price","Swap",I$4,"Default","","",,"")</f>
        <v>3.01635046</v>
      </c>
      <c r="J8" s="9" cm="1">
        <f t="array" ref="J8">[1]!YBPRICE($A8,"0o",J$4,"Price","Swap",J$4,"Default","","",,"")</f>
        <v>3.8521965300000001</v>
      </c>
      <c r="K8" s="9" cm="1">
        <f t="array" ref="K8">[1]!YBPRICE($A8,"0o",K$4,"Price","Swap",K$4,"Default","","",,"")</f>
        <v>3.64551552</v>
      </c>
      <c r="L8" s="9" cm="1">
        <f t="array" ref="L8">[1]!YBPRICE($A8,"0o",L$4,"Price","Swap",L$4,"Default","","",,"")</f>
        <v>4.0161128000000001</v>
      </c>
    </row>
    <row r="9" spans="1:12" x14ac:dyDescent="0.2">
      <c r="A9" s="1" t="str">
        <f>[2]Userbonds!A7</f>
        <v>YBP_SWAP5</v>
      </c>
      <c r="B9" s="9" cm="1">
        <f t="array" ref="B9">[1]!YBPRICE($A9,"0o",B$4,"Price","Swap",B$4,"Default","","",,"")</f>
        <v>10.219413019999999</v>
      </c>
      <c r="C9" s="9" cm="1">
        <f t="array" ref="C9">[1]!YBPRICE($A9,"0o",C$4,"Price","Swap",C$4,"Default","","",,"")</f>
        <v>8.5929494500000008</v>
      </c>
      <c r="D9" s="9" cm="1">
        <f t="array" ref="D9">[1]!YBPRICE($A9,"0o",D$4,"Price","Swap",D$4,"Default","","",,"")</f>
        <v>8.2260622100000003</v>
      </c>
      <c r="E9" s="9" cm="1">
        <f t="array" ref="E9">[1]!YBPRICE($A9,"0o",E$4,"Price","Swap",E$4,"Default","","",,"")</f>
        <v>6.8084565799999996</v>
      </c>
      <c r="F9" s="9" cm="1">
        <f t="array" ref="F9">[1]!YBPRICE($A9,"0o",F$4,"Price","Swap",F$4,"Default","","",,"")</f>
        <v>7.7435772500000004</v>
      </c>
      <c r="G9" s="9" cm="1">
        <f t="array" ref="G9">[1]!YBPRICE($A9,"0o",G$4,"Price","Swap",G$4,"Default","","",,"")</f>
        <v>6.7885066800000002</v>
      </c>
      <c r="H9" s="9" cm="1">
        <f t="array" ref="H9">[1]!YBPRICE($A9,"0o",H$4,"Price","Swap",H$4,"Default","","",,"")</f>
        <v>7.3621072700000001</v>
      </c>
      <c r="I9" s="9" cm="1">
        <f t="array" ref="I9">[1]!YBPRICE($A9,"0o",I$4,"Price","Swap",I$4,"Default","","",,"")</f>
        <v>6.1627926200000003</v>
      </c>
      <c r="J9" s="9" cm="1">
        <f t="array" ref="J9">[1]!YBPRICE($A9,"0o",J$4,"Price","Swap",J$4,"Default","","",,"")</f>
        <v>6.2442997199999999</v>
      </c>
      <c r="K9" s="9" cm="1">
        <f t="array" ref="K9">[1]!YBPRICE($A9,"0o",K$4,"Price","Swap",K$4,"Default","","",,"")</f>
        <v>6.2148318700000003</v>
      </c>
      <c r="L9" s="9" cm="1">
        <f t="array" ref="L9">[1]!YBPRICE($A9,"0o",L$4,"Price","Swap",L$4,"Default","","",,"")</f>
        <v>5.6971523900000003</v>
      </c>
    </row>
    <row r="10" spans="1:12" x14ac:dyDescent="0.2">
      <c r="A10" s="1" t="str">
        <f>[2]Userbonds!A8</f>
        <v>YBP_SWAP6</v>
      </c>
      <c r="B10" s="9" cm="1">
        <f t="array" ref="B10">[1]!YBPRICE($A10,"0o",B$4,"Price","Swap",B$4,"Default","","",,"")</f>
        <v>17.506690240000001</v>
      </c>
      <c r="C10" s="9" cm="1">
        <f t="array" ref="C10">[1]!YBPRICE($A10,"0o",C$4,"Price","Swap",C$4,"Default","","",,"")</f>
        <v>15.095381140000001</v>
      </c>
      <c r="D10" s="9" cm="1">
        <f t="array" ref="D10">[1]!YBPRICE($A10,"0o",D$4,"Price","Swap",D$4,"Default","","",,"")</f>
        <v>14.971788780000001</v>
      </c>
      <c r="E10" s="9" cm="1">
        <f t="array" ref="E10">[1]!YBPRICE($A10,"0o",E$4,"Price","Swap",E$4,"Default","","",,"")</f>
        <v>13.83658593</v>
      </c>
      <c r="F10" s="9" cm="1">
        <f t="array" ref="F10">[1]!YBPRICE($A10,"0o",F$4,"Price","Swap",F$4,"Default","","",,"")</f>
        <v>15.38325362</v>
      </c>
      <c r="G10" s="9" cm="1">
        <f t="array" ref="G10">[1]!YBPRICE($A10,"0o",G$4,"Price","Swap",G$4,"Default","","",,"")</f>
        <v>13.90861653</v>
      </c>
      <c r="H10" s="9" cm="1">
        <f t="array" ref="H10">[1]!YBPRICE($A10,"0o",H$4,"Price","Swap",H$4,"Default","","",,"")</f>
        <v>14.81949019</v>
      </c>
      <c r="I10" s="9" cm="1">
        <f t="array" ref="I10">[1]!YBPRICE($A10,"0o",I$4,"Price","Swap",I$4,"Default","","",,"")</f>
        <v>13.705231879999999</v>
      </c>
      <c r="J10" s="9" cm="1">
        <f t="array" ref="J10">[1]!YBPRICE($A10,"0o",J$4,"Price","Swap",J$4,"Default","","",,"")</f>
        <v>13.277090749999999</v>
      </c>
      <c r="K10" s="9" cm="1">
        <f t="array" ref="K10">[1]!YBPRICE($A10,"0o",K$4,"Price","Swap",K$4,"Default","","",,"")</f>
        <v>13.310771409999999</v>
      </c>
      <c r="L10" s="9" cm="1">
        <f t="array" ref="L10">[1]!YBPRICE($A10,"0o",L$4,"Price","Swap",L$4,"Default","","",,"")</f>
        <v>12.710449669999999</v>
      </c>
    </row>
    <row r="11" spans="1:12" x14ac:dyDescent="0.2">
      <c r="A11" s="1" t="str">
        <f>[2]Userbonds!A9</f>
        <v>YBP_SWAP7</v>
      </c>
      <c r="B11" s="9" cm="1">
        <f t="array" ref="B11">[1]!YBPRICE($A11,"0o",B$4,"Price","Swap",B$4,"Default","","",,"")</f>
        <v>-0.14651819999999999</v>
      </c>
      <c r="C11" s="9" cm="1">
        <f t="array" ref="C11">[1]!YBPRICE($A11,"0o",C$4,"Price","Swap",C$4,"Default","","",,"")</f>
        <v>-0.28274382999999997</v>
      </c>
      <c r="D11" s="9" cm="1">
        <f t="array" ref="D11">[1]!YBPRICE($A11,"0o",D$4,"Price","Swap",D$4,"Default","","",,"")</f>
        <v>-0.28213437000000002</v>
      </c>
      <c r="E11" s="9" cm="1">
        <f t="array" ref="E11">[1]!YBPRICE($A11,"0o",E$4,"Price","Swap",E$4,"Default","","",,"")</f>
        <v>-0.42465712999999999</v>
      </c>
      <c r="F11" s="9" cm="1">
        <f t="array" ref="F11">[1]!YBPRICE($A11,"0o",F$4,"Price","Swap",F$4,"Default","","",,"")</f>
        <v>-0.12772724999999999</v>
      </c>
      <c r="G11" s="9" cm="1">
        <f t="array" ref="G11">[1]!YBPRICE($A11,"0o",G$4,"Price","Swap",G$4,"Default","","",,"")</f>
        <v>-0.18633636000000001</v>
      </c>
      <c r="H11" s="9" cm="1">
        <f t="array" ref="H11">[1]!YBPRICE($A11,"0o",H$4,"Price","Swap",H$4,"Default","","",,"")</f>
        <v>-3.5438799999999999E-2</v>
      </c>
      <c r="I11" s="9" cm="1">
        <f t="array" ref="I11">[1]!YBPRICE($A11,"0o",I$4,"Price","Swap",I$4,"Default","","",,"")</f>
        <v>-0.17672616999999999</v>
      </c>
      <c r="J11" s="9" cm="1">
        <f t="array" ref="J11">[1]!YBPRICE($A11,"0o",J$4,"Price","Swap",J$4,"Default","","",,"")</f>
        <v>-0.21238647999999999</v>
      </c>
      <c r="K11" s="9" cm="1">
        <f t="array" ref="K11">[1]!YBPRICE($A11,"0o",K$4,"Price","Swap",K$4,"Default","","",,"")</f>
        <v>-0.18316509</v>
      </c>
      <c r="L11" s="9" cm="1">
        <f t="array" ref="L11">[1]!YBPRICE($A11,"0o",L$4,"Price","Swap",L$4,"Default","","",,"")</f>
        <v>-0.18806311000000001</v>
      </c>
    </row>
    <row r="12" spans="1:12" x14ac:dyDescent="0.2">
      <c r="A12" s="1" t="str">
        <f>[2]Userbonds!A10</f>
        <v>YBP_SWAP8</v>
      </c>
      <c r="B12" s="9" cm="1">
        <f t="array" ref="B12">[1]!YBPRICE($A12,"0o",B$4,"Price","Swap",B$4,"Default","","",,"")</f>
        <v>5.6151161600000004</v>
      </c>
      <c r="C12" s="9" cm="1">
        <f t="array" ref="C12">[1]!YBPRICE($A12,"0o",C$4,"Price","Swap",C$4,"Default","","",,"")</f>
        <v>4.1522765899999996</v>
      </c>
      <c r="D12" s="9" cm="1">
        <f t="array" ref="D12">[1]!YBPRICE($A12,"0o",D$4,"Price","Swap",D$4,"Default","","",,"")</f>
        <v>3.8283746399999998</v>
      </c>
      <c r="E12" s="9" cm="1">
        <f t="array" ref="E12">[1]!YBPRICE($A12,"0o",E$4,"Price","Swap",E$4,"Default","","",,"")</f>
        <v>2.4716708999999999</v>
      </c>
      <c r="F12" s="9" cm="1">
        <f t="array" ref="F12">[1]!YBPRICE($A12,"0o",F$4,"Price","Swap",F$4,"Default","","",,"")</f>
        <v>3.4397024699999998</v>
      </c>
      <c r="G12" s="9" cm="1">
        <f t="array" ref="G12">[1]!YBPRICE($A12,"0o",G$4,"Price","Swap",G$4,"Default","","",,"")</f>
        <v>2.5967651799999998</v>
      </c>
      <c r="H12" s="9" cm="1">
        <f t="array" ref="H12">[1]!YBPRICE($A12,"0o",H$4,"Price","Swap",H$4,"Default","","",,"")</f>
        <v>3.2059631199999998</v>
      </c>
      <c r="I12" s="9" cm="1">
        <f t="array" ref="I12">[1]!YBPRICE($A12,"0o",I$4,"Price","Swap",I$4,"Default","","",,"")</f>
        <v>2.1184645899999999</v>
      </c>
      <c r="J12" s="9" cm="1">
        <f t="array" ref="J12">[1]!YBPRICE($A12,"0o",J$4,"Price","Swap",J$4,"Default","","",,"")</f>
        <v>2.25443792</v>
      </c>
      <c r="K12" s="9" cm="1">
        <f t="array" ref="K12">[1]!YBPRICE($A12,"0o",K$4,"Price","Swap",K$4,"Default","","",,"")</f>
        <v>2.2778386500000001</v>
      </c>
      <c r="L12" s="9" cm="1">
        <f t="array" ref="L12">[1]!YBPRICE($A12,"0o",L$4,"Price","Swap",L$4,"Default","","",,"")</f>
        <v>1.8605027000000001</v>
      </c>
    </row>
    <row r="13" spans="1:12" x14ac:dyDescent="0.2">
      <c r="A13" s="1" t="str">
        <f>[2]Userbonds!A11</f>
        <v>YBP_SWAP9</v>
      </c>
      <c r="B13" s="9" cm="1">
        <f t="array" ref="B13">[1]!YBPRICE($A13,"0o",B$4,"Price","Swap",B$4,"Default","","",,"")</f>
        <v>-7.8129759400000003</v>
      </c>
      <c r="C13" s="9" cm="1">
        <f t="array" ref="C13">[1]!YBPRICE($A13,"0o",C$4,"Price","Swap",C$4,"Default","","",,"")</f>
        <v>-5.4313917299999996</v>
      </c>
      <c r="D13" s="9" cm="1">
        <f t="array" ref="D13">[1]!YBPRICE($A13,"0o",D$4,"Price","Swap",D$4,"Default","","",,"")</f>
        <v>-5.3166153200000004</v>
      </c>
      <c r="E13" s="9" cm="1">
        <f t="array" ref="E13">[1]!YBPRICE($A13,"0o",E$4,"Price","Swap",E$4,"Default","","",,"")</f>
        <v>-4.0731182300000004</v>
      </c>
      <c r="F13" s="9" cm="1">
        <f t="array" ref="F13">[1]!YBPRICE($A13,"0o",F$4,"Price","Swap",F$4,"Default","","",,"")</f>
        <v>-5.6770263300000003</v>
      </c>
      <c r="G13" s="9" cm="1">
        <f t="array" ref="G13">[1]!YBPRICE($A13,"0o",G$4,"Price","Swap",G$4,"Default","","",,"")</f>
        <v>-4.2477115999999997</v>
      </c>
      <c r="H13" s="9" cm="1">
        <f t="array" ref="H13">[1]!YBPRICE($A13,"0o",H$4,"Price","Swap",H$4,"Default","","",,"")</f>
        <v>-5.22168513</v>
      </c>
      <c r="I13" s="9" cm="1">
        <f t="array" ref="I13">[1]!YBPRICE($A13,"0o",I$4,"Price","Swap",I$4,"Default","","",,"")</f>
        <v>-4.05518673</v>
      </c>
      <c r="J13" s="9" cm="1">
        <f t="array" ref="J13">[1]!YBPRICE($A13,"0o",J$4,"Price","Swap",J$4,"Default","","",,"")</f>
        <v>-3.7919851800000002</v>
      </c>
      <c r="K13" s="9" cm="1">
        <f t="array" ref="K13">[1]!YBPRICE($A13,"0o",K$4,"Price","Swap",K$4,"Default","","",,"")</f>
        <v>-3.85478684</v>
      </c>
      <c r="L13" s="9" cm="1">
        <f t="array" ref="L13">[1]!YBPRICE($A13,"0o",L$4,"Price","Swap",L$4,"Default","","",,"")</f>
        <v>-3.2977582399999998</v>
      </c>
    </row>
    <row r="14" spans="1:12" x14ac:dyDescent="0.2">
      <c r="A14" s="1" t="str">
        <f>[2]Userbonds!A12</f>
        <v>YBP_SWAP10</v>
      </c>
      <c r="B14" s="9" cm="1">
        <f t="array" ref="B14">[1]!YBPRICE($A14,"0o",B$4,"Price","Swap",B$4,"Default","","",,"")</f>
        <v>-6.47001238</v>
      </c>
      <c r="C14" s="9" cm="1">
        <f t="array" ref="C14">[1]!YBPRICE($A14,"0o",C$4,"Price","Swap",C$4,"Default","","",,"")</f>
        <v>-5.0634303599999999</v>
      </c>
      <c r="D14" s="9" cm="1">
        <f t="array" ref="D14">[1]!YBPRICE($A14,"0o",D$4,"Price","Swap",D$4,"Default","","",,"")</f>
        <v>-4.7142322500000002</v>
      </c>
      <c r="E14" s="9" cm="1">
        <f t="array" ref="E14">[1]!YBPRICE($A14,"0o",E$4,"Price","Swap",E$4,"Default","","",,"")</f>
        <v>-3.3725626800000001</v>
      </c>
      <c r="F14" s="9" cm="1">
        <f t="array" ref="F14">[1]!YBPRICE($A14,"0o",F$4,"Price","Swap",F$4,"Default","","",,"")</f>
        <v>-4.2920906499999996</v>
      </c>
      <c r="G14" s="9" cm="1">
        <f t="array" ref="G14">[1]!YBPRICE($A14,"0o",G$4,"Price","Swap",G$4,"Default","","",,"")</f>
        <v>-3.46448292</v>
      </c>
      <c r="H14" s="9" cm="1">
        <f t="array" ref="H14">[1]!YBPRICE($A14,"0o",H$4,"Price","Swap",H$4,"Default","","",,"")</f>
        <v>-4.0466423999999996</v>
      </c>
      <c r="I14" s="9" cm="1">
        <f t="array" ref="I14">[1]!YBPRICE($A14,"0o",I$4,"Price","Swap",I$4,"Default","","",,"")</f>
        <v>-2.9857793300000002</v>
      </c>
      <c r="J14" s="9" cm="1">
        <f t="array" ref="J14">[1]!YBPRICE($A14,"0o",J$4,"Price","Swap",J$4,"Default","","",,"")</f>
        <v>-3.08740952</v>
      </c>
      <c r="K14" s="9" cm="1">
        <f t="array" ref="K14">[1]!YBPRICE($A14,"0o",K$4,"Price","Swap",K$4,"Default","","",,"")</f>
        <v>-3.0868975000000001</v>
      </c>
      <c r="L14" s="9" cm="1">
        <f t="array" ref="L14">[1]!YBPRICE($A14,"0o",L$4,"Price","Swap",L$4,"Default","","",,"")</f>
        <v>-2.6833743000000001</v>
      </c>
    </row>
    <row r="15" spans="1:12" x14ac:dyDescent="0.2">
      <c r="A15" s="1" t="str">
        <f>[2]Userbonds!A13</f>
        <v>YBP_SWAP11</v>
      </c>
      <c r="B15" s="9" cm="1">
        <f t="array" ref="B15">[1]!YBPRICE($A15,"0o",B$4,"Price","Swap",B$4,"Default","","",,"")</f>
        <v>-4.3786811700000001</v>
      </c>
      <c r="C15" s="9" cm="1">
        <f t="array" ref="C15">[1]!YBPRICE($A15,"0o",C$4,"Price","Swap",C$4,"Default","","",,"")</f>
        <v>-3.80460697</v>
      </c>
      <c r="D15" s="9" cm="1">
        <f t="array" ref="D15">[1]!YBPRICE($A15,"0o",D$4,"Price","Swap",D$4,"Default","","",,"")</f>
        <v>-3.50460262</v>
      </c>
      <c r="E15" s="9" cm="1">
        <f t="array" ref="E15">[1]!YBPRICE($A15,"0o",E$4,"Price","Swap",E$4,"Default","","",,"")</f>
        <v>-2.8163850199999998</v>
      </c>
      <c r="F15" s="9" cm="1">
        <f t="array" ref="F15">[1]!YBPRICE($A15,"0o",F$4,"Price","Swap",F$4,"Default","","",,"")</f>
        <v>-3.2292644899999998</v>
      </c>
      <c r="G15" s="9" cm="1">
        <f t="array" ref="G15">[1]!YBPRICE($A15,"0o",G$4,"Price","Swap",G$4,"Default","","",,"")</f>
        <v>-2.8011787500000001</v>
      </c>
      <c r="H15" s="9" cm="1">
        <f t="array" ref="H15">[1]!YBPRICE($A15,"0o",H$4,"Price","Swap",H$4,"Default","","",,"")</f>
        <v>-3.03451008</v>
      </c>
      <c r="I15" s="9" cm="1">
        <f t="array" ref="I15">[1]!YBPRICE($A15,"0o",I$4,"Price","Swap",I$4,"Default","","",,"")</f>
        <v>-2.4746416600000001</v>
      </c>
      <c r="J15" s="9" cm="1">
        <f t="array" ref="J15">[1]!YBPRICE($A15,"0o",J$4,"Price","Swap",J$4,"Default","","",,"")</f>
        <v>-2.2630850300000001</v>
      </c>
      <c r="K15" s="9" cm="1">
        <f t="array" ref="K15">[1]!YBPRICE($A15,"0o",K$4,"Price","Swap",K$4,"Default","","",,"")</f>
        <v>-2.1499483000000001</v>
      </c>
      <c r="L15" s="9" cm="1">
        <f t="array" ref="L15">[1]!YBPRICE($A15,"0o",L$4,"Price","Swap",L$4,"Default","","",,"")</f>
        <v>-1.92137085</v>
      </c>
    </row>
    <row r="16" spans="1:12" x14ac:dyDescent="0.2">
      <c r="A16" s="1" t="str">
        <f>[2]Userbonds!A14</f>
        <v>YBP_SWAP12</v>
      </c>
      <c r="B16" s="9" cm="1">
        <f t="array" ref="B16">[1]!YBPRICE($A16,"0o",B$4,"Price","Swap",B$4,"Default","","",,"")</f>
        <v>-8.6655970999999994</v>
      </c>
      <c r="C16" s="9" cm="1">
        <f t="array" ref="C16">[1]!YBPRICE($A16,"0o",C$4,"Price","Swap",C$4,"Default","","",,"")</f>
        <v>-6.1631587100000003</v>
      </c>
      <c r="D16" s="9" cm="1">
        <f t="array" ref="D16">[1]!YBPRICE($A16,"0o",D$4,"Price","Swap",D$4,"Default","","",,"")</f>
        <v>-6.0874950999999999</v>
      </c>
      <c r="E16" s="9" cm="1">
        <f t="array" ref="E16">[1]!YBPRICE($A16,"0o",E$4,"Price","Swap",E$4,"Default","","",,"")</f>
        <v>-4.9016975</v>
      </c>
      <c r="F16" s="9" cm="1">
        <f t="array" ref="F16">[1]!YBPRICE($A16,"0o",F$4,"Price","Swap",F$4,"Default","","",,"")</f>
        <v>-6.6115041300000001</v>
      </c>
      <c r="G16" s="9" cm="1">
        <f t="array" ref="G16">[1]!YBPRICE($A16,"0o",G$4,"Price","Swap",G$4,"Default","","",,"")</f>
        <v>-5.11834977</v>
      </c>
      <c r="H16" s="9" cm="1">
        <f t="array" ref="H16">[1]!YBPRICE($A16,"0o",H$4,"Price","Swap",H$4,"Default","","",,"")</f>
        <v>-6.1438449400000001</v>
      </c>
      <c r="I16" s="9" cm="1">
        <f t="array" ref="I16">[1]!YBPRICE($A16,"0o",I$4,"Price","Swap",I$4,"Default","","",,"")</f>
        <v>-5.0008209900000002</v>
      </c>
      <c r="J16" s="9" cm="1">
        <f t="array" ref="J16">[1]!YBPRICE($A16,"0o",J$4,"Price","Swap",J$4,"Default","","",,"")</f>
        <v>-4.6554455900000002</v>
      </c>
      <c r="K16" s="9" cm="1">
        <f t="array" ref="K16">[1]!YBPRICE($A16,"0o",K$4,"Price","Swap",K$4,"Default","","",,"")</f>
        <v>-4.7434352500000001</v>
      </c>
      <c r="L16" s="9" cm="1">
        <f t="array" ref="L16">[1]!YBPRICE($A16,"0o",L$4,"Price","Swap",L$4,"Default","","",,"")</f>
        <v>-4.15978884</v>
      </c>
    </row>
    <row r="17" spans="1:12" x14ac:dyDescent="0.2">
      <c r="A17" s="1" t="str">
        <f>[2]Userbonds!A15</f>
        <v>YBP_SWAP13</v>
      </c>
      <c r="B17" s="9" cm="1">
        <f t="array" ref="B17">[1]!YBPRICE($A17,"0o",B$4,"Price","Swap",B$4,"Default","","",,"")</f>
        <v>-0.4396603</v>
      </c>
      <c r="C17" s="9" cm="1">
        <f t="array" ref="C17">[1]!YBPRICE($A17,"0o",C$4,"Price","Swap",C$4,"Default","","",,"")</f>
        <v>1.94130432</v>
      </c>
      <c r="D17" s="9" cm="1">
        <f t="array" ref="D17">[1]!YBPRICE($A17,"0o",D$4,"Price","Swap",D$4,"Default","","",,"")</f>
        <v>2.0354714500000002</v>
      </c>
      <c r="E17" s="9" cm="1">
        <f t="array" ref="E17">[1]!YBPRICE($A17,"0o",E$4,"Price","Swap",E$4,"Default","","",,"")</f>
        <v>3.3341385899999998</v>
      </c>
      <c r="F17" s="9" cm="1">
        <f t="array" ref="F17">[1]!YBPRICE($A17,"0o",F$4,"Price","Swap",F$4,"Default","","",,"")</f>
        <v>1.64706452</v>
      </c>
      <c r="G17" s="9" cm="1">
        <f t="array" ref="G17">[1]!YBPRICE($A17,"0o",G$4,"Price","Swap",G$4,"Default","","",,"")</f>
        <v>3.0505921599999999</v>
      </c>
      <c r="H17" s="9" cm="1">
        <f t="array" ref="H17">[1]!YBPRICE($A17,"0o",H$4,"Price","Swap",H$4,"Default","","",,"")</f>
        <v>1.9946258400000001</v>
      </c>
      <c r="I17" s="9" cm="1">
        <f t="array" ref="I17">[1]!YBPRICE($A17,"0o",I$4,"Price","Swap",I$4,"Default","","",,"")</f>
        <v>3.2231610000000002</v>
      </c>
      <c r="J17" s="9" cm="1">
        <f t="array" ref="J17">[1]!YBPRICE($A17,"0o",J$4,"Price","Swap",J$4,"Default","","",,"")</f>
        <v>3.3760325400000002</v>
      </c>
      <c r="K17" s="9" cm="1">
        <f t="array" ref="K17">[1]!YBPRICE($A17,"0o",K$4,"Price","Swap",K$4,"Default","","",,"")</f>
        <v>3.2139173599999999</v>
      </c>
      <c r="L17" s="9" cm="1">
        <f t="array" ref="L17">[1]!YBPRICE($A17,"0o",L$4,"Price","Swap",L$4,"Default","","",,"")</f>
        <v>3.7827465600000001</v>
      </c>
    </row>
    <row r="18" spans="1:12" x14ac:dyDescent="0.2">
      <c r="A18" s="1" t="str">
        <f>[2]Userbonds!A16</f>
        <v>YBP_SWAP14</v>
      </c>
      <c r="B18" s="9" cm="1">
        <f t="array" ref="B18">[1]!YBPRICE($A18,"0o",B$4,"Price","Swap",B$4,"Default","","",,"")</f>
        <v>-7.5311813000000001</v>
      </c>
      <c r="C18" s="9" cm="1">
        <f t="array" ref="C18">[1]!YBPRICE($A18,"0o",C$4,"Price","Swap",C$4,"Default","","",,"")</f>
        <v>-5.1765132500000002</v>
      </c>
      <c r="D18" s="9" cm="1">
        <f t="array" ref="D18">[1]!YBPRICE($A18,"0o",D$4,"Price","Swap",D$4,"Default","","",,"")</f>
        <v>-5.0412492100000001</v>
      </c>
      <c r="E18" s="9" cm="1">
        <f t="array" ref="E18">[1]!YBPRICE($A18,"0o",E$4,"Price","Swap",E$4,"Default","","",,"")</f>
        <v>-3.7830024199999999</v>
      </c>
      <c r="F18" s="9" cm="1">
        <f t="array" ref="F18">[1]!YBPRICE($A18,"0o",F$4,"Price","Swap",F$4,"Default","","",,"")</f>
        <v>-5.3594350899999998</v>
      </c>
      <c r="G18" s="9" cm="1">
        <f t="array" ref="G18">[1]!YBPRICE($A18,"0o",G$4,"Price","Swap",G$4,"Default","","",,"")</f>
        <v>-3.9417792999999999</v>
      </c>
      <c r="H18" s="9" cm="1">
        <f t="array" ref="H18">[1]!YBPRICE($A18,"0o",H$4,"Price","Swap",H$4,"Default","","",,"")</f>
        <v>-4.9147064</v>
      </c>
      <c r="I18" s="9" cm="1">
        <f t="array" ref="I18">[1]!YBPRICE($A18,"0o",I$4,"Price","Swap",I$4,"Default","","",,"")</f>
        <v>-3.7031557099999999</v>
      </c>
      <c r="J18" s="9" cm="1">
        <f t="array" ref="J18">[1]!YBPRICE($A18,"0o",J$4,"Price","Swap",J$4,"Default","","",,"")</f>
        <v>-3.4693528200000001</v>
      </c>
      <c r="K18" s="9" cm="1">
        <f t="array" ref="K18">[1]!YBPRICE($A18,"0o",K$4,"Price","Swap",K$4,"Default","","",,"")</f>
        <v>-3.5789882199999998</v>
      </c>
      <c r="L18" s="9" cm="1">
        <f t="array" ref="L18">[1]!YBPRICE($A18,"0o",L$4,"Price","Swap",L$4,"Default","","",,"")</f>
        <v>-2.9773535799999999</v>
      </c>
    </row>
    <row r="19" spans="1:12" x14ac:dyDescent="0.2">
      <c r="A19" s="1" t="str">
        <f>[2]Userbonds!A17</f>
        <v>YBP_SWAP15</v>
      </c>
      <c r="B19" s="9" cm="1">
        <f t="array" ref="B19">[1]!YBPRICE($A19,"0o",B$4,"Price","Swap",B$4,"Default","","",,"")</f>
        <v>-16.552091350000001</v>
      </c>
      <c r="C19" s="9" cm="1">
        <f t="array" ref="C19">[1]!YBPRICE($A19,"0o",C$4,"Price","Swap",C$4,"Default","","",,"")</f>
        <v>-14.068888790000001</v>
      </c>
      <c r="D19" s="9" cm="1">
        <f t="array" ref="D19">[1]!YBPRICE($A19,"0o",D$4,"Price","Swap",D$4,"Default","","",,"")</f>
        <v>-13.98314708</v>
      </c>
      <c r="E19" s="9" cm="1">
        <f t="array" ref="E19">[1]!YBPRICE($A19,"0o",E$4,"Price","Swap",E$4,"Default","","",,"")</f>
        <v>-12.87464319</v>
      </c>
      <c r="F19" s="9" cm="1">
        <f t="array" ref="F19">[1]!YBPRICE($A19,"0o",F$4,"Price","Swap",F$4,"Default","","",,"")</f>
        <v>-14.5087154</v>
      </c>
      <c r="G19" s="9" cm="1">
        <f t="array" ref="G19">[1]!YBPRICE($A19,"0o",G$4,"Price","Swap",G$4,"Default","","",,"")</f>
        <v>-13.00614118</v>
      </c>
      <c r="H19" s="9" cm="1">
        <f t="array" ref="H19">[1]!YBPRICE($A19,"0o",H$4,"Price","Swap",H$4,"Default","","",,"")</f>
        <v>-13.960793669999999</v>
      </c>
      <c r="I19" s="9" cm="1">
        <f t="array" ref="I19">[1]!YBPRICE($A19,"0o",I$4,"Price","Swap",I$4,"Default","","",,"")</f>
        <v>-12.884881269999999</v>
      </c>
      <c r="J19" s="9" cm="1">
        <f t="array" ref="J19">[1]!YBPRICE($A19,"0o",J$4,"Price","Swap",J$4,"Default","","",,"")</f>
        <v>-12.4241382</v>
      </c>
      <c r="K19" s="9" cm="1">
        <f t="array" ref="K19">[1]!YBPRICE($A19,"0o",K$4,"Price","Swap",K$4,"Default","","",,"")</f>
        <v>-12.45468473</v>
      </c>
      <c r="L19" s="9" cm="1">
        <f t="array" ref="L19">[1]!YBPRICE($A19,"0o",L$4,"Price","Swap",L$4,"Default","","",,"")</f>
        <v>-11.876015669999999</v>
      </c>
    </row>
    <row r="20" spans="1:12" x14ac:dyDescent="0.2">
      <c r="A20" s="1" t="str">
        <f>[2]Userbonds!A18</f>
        <v>YBP_SWAP16</v>
      </c>
      <c r="B20" s="9" cm="1">
        <f t="array" ref="B20">[1]!YBPRICE($A20,"0o",B$4,"Price","Swap",B$4,"Default","","",,"")</f>
        <v>-24.848492350000001</v>
      </c>
      <c r="C20" s="9" cm="1">
        <f t="array" ref="C20">[1]!YBPRICE($A20,"0o",C$4,"Price","Swap",C$4,"Default","","",,"")</f>
        <v>-22.180070239999999</v>
      </c>
      <c r="D20" s="9" cm="1">
        <f t="array" ref="D20">[1]!YBPRICE($A20,"0o",D$4,"Price","Swap",D$4,"Default","","",,"")</f>
        <v>-22.28420436</v>
      </c>
      <c r="E20" s="9" cm="1">
        <f t="array" ref="E20">[1]!YBPRICE($A20,"0o",E$4,"Price","Swap",E$4,"Default","","",,"")</f>
        <v>-21.495309559999999</v>
      </c>
      <c r="F20" s="9" cm="1">
        <f t="array" ref="F20">[1]!YBPRICE($A20,"0o",F$4,"Price","Swap",F$4,"Default","","",,"")</f>
        <v>-23.432864080000002</v>
      </c>
      <c r="G20" s="9" cm="1">
        <f t="array" ref="G20">[1]!YBPRICE($A20,"0o",G$4,"Price","Swap",G$4,"Default","","",,"")</f>
        <v>-21.815599070000001</v>
      </c>
      <c r="H20" s="9" cm="1">
        <f t="array" ref="H20">[1]!YBPRICE($A20,"0o",H$4,"Price","Swap",H$4,"Default","","",,"")</f>
        <v>-22.907496909999999</v>
      </c>
      <c r="I20" s="9" cm="1">
        <f t="array" ref="I20">[1]!YBPRICE($A20,"0o",I$4,"Price","Swap",I$4,"Default","","",,"")</f>
        <v>-22.198389129999999</v>
      </c>
      <c r="J20" s="9" cm="1">
        <f t="array" ref="J20">[1]!YBPRICE($A20,"0o",J$4,"Price","Swap",J$4,"Default","","",,"")</f>
        <v>-21.297934690000002</v>
      </c>
      <c r="K20" s="9" cm="1">
        <f t="array" ref="K20">[1]!YBPRICE($A20,"0o",K$4,"Price","Swap",K$4,"Default","","",,"")</f>
        <v>-21.336211729999999</v>
      </c>
      <c r="L20" s="9" cm="1">
        <f t="array" ref="L20">[1]!YBPRICE($A20,"0o",L$4,"Price","Swap",L$4,"Default","","",,"")</f>
        <v>-20.879128919999999</v>
      </c>
    </row>
    <row r="21" spans="1:12" x14ac:dyDescent="0.2">
      <c r="A21" s="1" t="str">
        <f>[2]Userbonds!A19</f>
        <v>YBP_SWAP17</v>
      </c>
      <c r="B21" s="9" cm="1">
        <f t="array" ref="B21">[1]!YBPRICE($A21,"0o",B$4,"Price","Swap",B$4,"Default","","",,"")</f>
        <v>0.44573669999999999</v>
      </c>
      <c r="C21" s="9" cm="1">
        <f t="array" ref="C21">[1]!YBPRICE($A21,"0o",C$4,"Price","Swap",C$4,"Default","","",,"")</f>
        <v>0.66813531000000004</v>
      </c>
      <c r="D21" s="9" cm="1">
        <f t="array" ref="D21">[1]!YBPRICE($A21,"0o",D$4,"Price","Swap",D$4,"Default","","",,"")</f>
        <v>0.68983497000000005</v>
      </c>
      <c r="E21" s="9" cm="1">
        <f t="array" ref="E21">[1]!YBPRICE($A21,"0o",E$4,"Price","Swap",E$4,"Default","","",,"")</f>
        <v>0.9734583</v>
      </c>
      <c r="F21" s="9" cm="1">
        <f t="array" ref="F21">[1]!YBPRICE($A21,"0o",F$4,"Price","Swap",F$4,"Default","","",,"")</f>
        <v>0.51085844999999996</v>
      </c>
      <c r="G21" s="9" cm="1">
        <f t="array" ref="G21">[1]!YBPRICE($A21,"0o",G$4,"Price","Swap",G$4,"Default","","",,"")</f>
        <v>0.62576153000000001</v>
      </c>
      <c r="H21" s="9" cm="1">
        <f t="array" ref="H21">[1]!YBPRICE($A21,"0o",H$4,"Price","Swap",H$4,"Default","","",,"")</f>
        <v>0.33051894999999998</v>
      </c>
      <c r="I21" s="9" cm="1">
        <f t="array" ref="I21">[1]!YBPRICE($A21,"0o",I$4,"Price","Swap",I$4,"Default","","",,"")</f>
        <v>0.53518611999999999</v>
      </c>
      <c r="J21" s="9" cm="1">
        <f t="array" ref="J21">[1]!YBPRICE($A21,"0o",J$4,"Price","Swap",J$4,"Default","","",,"")</f>
        <v>0.56293645000000003</v>
      </c>
      <c r="K21" s="9" cm="1">
        <f t="array" ref="K21">[1]!YBPRICE($A21,"0o",K$4,"Price","Swap",K$4,"Default","","",,"")</f>
        <v>0.50587006000000001</v>
      </c>
      <c r="L21" s="9" cm="1">
        <f t="array" ref="L21">[1]!YBPRICE($A21,"0o",L$4,"Price","Swap",L$4,"Default","","",,"")</f>
        <v>0.49673581</v>
      </c>
    </row>
    <row r="22" spans="1:12" x14ac:dyDescent="0.2">
      <c r="A22" s="1" t="str">
        <f>[2]Userbonds!A20</f>
        <v>YBP_SWAP18</v>
      </c>
      <c r="B22" s="9" cm="1">
        <f t="array" ref="B22">[1]!YBPRICE($A22,"0o",B$4,"Price","Swap",B$4,"Default","","",,"")</f>
        <v>-17.677768319999998</v>
      </c>
      <c r="C22" s="9" cm="1">
        <f t="array" ref="C22">[1]!YBPRICE($A22,"0o",C$4,"Price","Swap",C$4,"Default","","",,"")</f>
        <v>-15.00005228</v>
      </c>
      <c r="D22" s="9" cm="1">
        <f t="array" ref="D22">[1]!YBPRICE($A22,"0o",D$4,"Price","Swap",D$4,"Default","","",,"")</f>
        <v>-15.06079733</v>
      </c>
      <c r="E22" s="9" cm="1">
        <f t="array" ref="E22">[1]!YBPRICE($A22,"0o",E$4,"Price","Swap",E$4,"Default","","",,"")</f>
        <v>-14.135882820000001</v>
      </c>
      <c r="F22" s="9" cm="1">
        <f t="array" ref="F22">[1]!YBPRICE($A22,"0o",F$4,"Price","Swap",F$4,"Default","","",,"")</f>
        <v>-16.05063062</v>
      </c>
      <c r="G22" s="9" cm="1">
        <f t="array" ref="G22">[1]!YBPRICE($A22,"0o",G$4,"Price","Swap",G$4,"Default","","",,"")</f>
        <v>-14.447308830000001</v>
      </c>
      <c r="H22" s="9" cm="1">
        <f t="array" ref="H22">[1]!YBPRICE($A22,"0o",H$4,"Price","Swap",H$4,"Default","","",,"")</f>
        <v>-15.533703409999999</v>
      </c>
      <c r="I22" s="9" cm="1">
        <f t="array" ref="I22">[1]!YBPRICE($A22,"0o",I$4,"Price","Swap",I$4,"Default","","",,"")</f>
        <v>-14.7070375</v>
      </c>
      <c r="J22" s="9" cm="1">
        <f t="array" ref="J22">[1]!YBPRICE($A22,"0o",J$4,"Price","Swap",J$4,"Default","","",,"")</f>
        <v>-13.95887639</v>
      </c>
      <c r="K22" s="9" cm="1">
        <f t="array" ref="K22">[1]!YBPRICE($A22,"0o",K$4,"Price","Swap",K$4,"Default","","",,"")</f>
        <v>-13.98229721</v>
      </c>
      <c r="L22" s="9" cm="1">
        <f t="array" ref="L22">[1]!YBPRICE($A22,"0o",L$4,"Price","Swap",L$4,"Default","","",,"")</f>
        <v>-13.49748557</v>
      </c>
    </row>
    <row r="23" spans="1:12" x14ac:dyDescent="0.2">
      <c r="A23" s="1" t="str">
        <f>[2]Userbonds!A21</f>
        <v>YBP_SWAP19</v>
      </c>
      <c r="B23" s="9" cm="1">
        <f t="array" ref="B23">[1]!YBPRICE($A23,"0o",B$4,"Price","Swap",B$4,"Default","","",,"")</f>
        <v>0.78583227</v>
      </c>
      <c r="C23" s="9" cm="1">
        <f t="array" ref="C23">[1]!YBPRICE($A23,"0o",C$4,"Price","Swap",C$4,"Default","","",,"")</f>
        <v>0.43760093999999999</v>
      </c>
      <c r="D23" s="9" cm="1">
        <f t="array" ref="D23">[1]!YBPRICE($A23,"0o",D$4,"Price","Swap",D$4,"Default","","",,"")</f>
        <v>0.31894041000000001</v>
      </c>
      <c r="E23" s="9" cm="1">
        <f t="array" ref="E23">[1]!YBPRICE($A23,"0o",E$4,"Price","Swap",E$4,"Default","","",,"")</f>
        <v>-0.10673247</v>
      </c>
      <c r="F23" s="9" cm="1">
        <f t="array" ref="F23">[1]!YBPRICE($A23,"0o",F$4,"Price","Swap",F$4,"Default","","",,"")</f>
        <v>0.37213128000000001</v>
      </c>
      <c r="G23" s="9" cm="1">
        <f t="array" ref="G23">[1]!YBPRICE($A23,"0o",G$4,"Price","Swap",G$4,"Default","","",,"")</f>
        <v>0.13835902999999999</v>
      </c>
      <c r="H23" s="9" cm="1">
        <f t="array" ref="H23">[1]!YBPRICE($A23,"0o",H$4,"Price","Swap",H$4,"Default","","",,"")</f>
        <v>0.44503670000000001</v>
      </c>
      <c r="I23" s="9" cm="1">
        <f t="array" ref="I23">[1]!YBPRICE($A23,"0o",I$4,"Price","Swap",I$4,"Default","","",,"")</f>
        <v>0.10992979999999999</v>
      </c>
      <c r="J23" s="9" cm="1">
        <f t="array" ref="J23">[1]!YBPRICE($A23,"0o",J$4,"Price","Swap",J$4,"Default","","",,"")</f>
        <v>1.2948889999999999E-2</v>
      </c>
      <c r="K23" s="9" cm="1">
        <f t="array" ref="K23">[1]!YBPRICE($A23,"0o",K$4,"Price","Swap",K$4,"Default","","",,"")</f>
        <v>3.6542489999999997E-2</v>
      </c>
      <c r="L23" s="9" cm="1">
        <f t="array" ref="L23">[1]!YBPRICE($A23,"0o",L$4,"Price","Swap",L$4,"Default","","",,"")</f>
        <v>-3.29565E-2</v>
      </c>
    </row>
    <row r="24" spans="1:12" x14ac:dyDescent="0.2">
      <c r="A24" s="1" t="str">
        <f>[2]Userbonds!A22</f>
        <v>YBP_SWAP20</v>
      </c>
      <c r="B24" s="9" cm="1">
        <f t="array" ref="B24">[1]!YBPRICE($A24,"0o",B$4,"Price","Swap",B$4,"Default","","",,"")</f>
        <v>-6.0768426099999999</v>
      </c>
      <c r="C24" s="9" cm="1">
        <f t="array" ref="C24">[1]!YBPRICE($A24,"0o",C$4,"Price","Swap",C$4,"Default","","",,"")</f>
        <v>-8.6058180699999998</v>
      </c>
      <c r="D24" s="9" cm="1">
        <f t="array" ref="D24">[1]!YBPRICE($A24,"0o",D$4,"Price","Swap",D$4,"Default","","",,"")</f>
        <v>-8.6331732399999996</v>
      </c>
      <c r="E24" s="9" cm="1">
        <f t="array" ref="E24">[1]!YBPRICE($A24,"0o",E$4,"Price","Swap",E$4,"Default","","",,"")</f>
        <v>-9.9066818199999993</v>
      </c>
      <c r="F24" s="9" cm="1">
        <f t="array" ref="F24">[1]!YBPRICE($A24,"0o",F$4,"Price","Swap",F$4,"Default","","",,"")</f>
        <v>-8.0267084999999998</v>
      </c>
      <c r="G24" s="9" cm="1">
        <f t="array" ref="G24">[1]!YBPRICE($A24,"0o",G$4,"Price","Swap",G$4,"Default","","",,"")</f>
        <v>-9.4974837799999996</v>
      </c>
      <c r="H24" s="9" cm="1">
        <f t="array" ref="H24">[1]!YBPRICE($A24,"0o",H$4,"Price","Swap",H$4,"Default","","",,"")</f>
        <v>-8.3026857599999992</v>
      </c>
      <c r="I24" s="9" cm="1">
        <f t="array" ref="I24">[1]!YBPRICE($A24,"0o",I$4,"Price","Swap",I$4,"Default","","",,"")</f>
        <v>-9.5154700200000004</v>
      </c>
      <c r="J24" s="9" cm="1">
        <f t="array" ref="J24">[1]!YBPRICE($A24,"0o",J$4,"Price","Swap",J$4,"Default","","",,"")</f>
        <v>-9.7000983099999996</v>
      </c>
      <c r="K24" s="9" cm="1">
        <f t="array" ref="K24">[1]!YBPRICE($A24,"0o",K$4,"Price","Swap",K$4,"Default","","",,"")</f>
        <v>-9.4810929799999997</v>
      </c>
      <c r="L24" s="9" cm="1">
        <f t="array" ref="L24">[1]!YBPRICE($A24,"0o",L$4,"Price","Swap",L$4,"Default","","",,"")</f>
        <v>-10.028167180000001</v>
      </c>
    </row>
    <row r="25" spans="1:12" x14ac:dyDescent="0.2">
      <c r="A25" s="1" t="str">
        <f>[2]Userbonds!A23</f>
        <v>YBP_SWAP21</v>
      </c>
      <c r="B25" s="9" cm="1">
        <f t="array" ref="B25">[1]!YBPRICE($A25,"0o",B$4,"Price","Swap",B$4,"Default","","",,"")</f>
        <v>14.5193744</v>
      </c>
      <c r="C25" s="9" cm="1">
        <f t="array" ref="C25">[1]!YBPRICE($A25,"0o",C$4,"Price","Swap",C$4,"Default","","",,"")</f>
        <v>12.57040523</v>
      </c>
      <c r="D25" s="9" cm="1">
        <f t="array" ref="D25">[1]!YBPRICE($A25,"0o",D$4,"Price","Swap",D$4,"Default","","",,"")</f>
        <v>12.260688529999999</v>
      </c>
      <c r="E25" s="9" cm="1">
        <f t="array" ref="E25">[1]!YBPRICE($A25,"0o",E$4,"Price","Swap",E$4,"Default","","",,"")</f>
        <v>10.83798824</v>
      </c>
      <c r="F25" s="9" cm="1">
        <f t="array" ref="F25">[1]!YBPRICE($A25,"0o",F$4,"Price","Swap",F$4,"Default","","",,"")</f>
        <v>11.953214259999999</v>
      </c>
      <c r="G25" s="9" cm="1">
        <f t="array" ref="G25">[1]!YBPRICE($A25,"0o",G$4,"Price","Swap",G$4,"Default","","",,"")</f>
        <v>10.765175490000001</v>
      </c>
      <c r="H25" s="9" cm="1">
        <f t="array" ref="H25">[1]!YBPRICE($A25,"0o",H$4,"Price","Swap",H$4,"Default","","",,"")</f>
        <v>11.4127575</v>
      </c>
      <c r="I25" s="9" cm="1">
        <f t="array" ref="I25">[1]!YBPRICE($A25,"0o",I$4,"Price","Swap",I$4,"Default","","",,"")</f>
        <v>10.15058333</v>
      </c>
      <c r="J25" s="9" cm="1">
        <f t="array" ref="J25">[1]!YBPRICE($A25,"0o",J$4,"Price","Swap",J$4,"Default","","",,"")</f>
        <v>10.097127240000001</v>
      </c>
      <c r="K25" s="9" cm="1">
        <f t="array" ref="K25">[1]!YBPRICE($A25,"0o",K$4,"Price","Swap",K$4,"Default","","",,"")</f>
        <v>10.08100218</v>
      </c>
      <c r="L25" s="9" cm="1">
        <f t="array" ref="L25">[1]!YBPRICE($A25,"0o",L$4,"Price","Swap",L$4,"Default","","",,"")</f>
        <v>9.4756775199999996</v>
      </c>
    </row>
    <row r="26" spans="1:12" x14ac:dyDescent="0.2">
      <c r="A26" s="1" t="str">
        <f>[2]Userbonds!A24</f>
        <v>YBP_SWAP22</v>
      </c>
      <c r="B26" s="9" cm="1">
        <f t="array" ref="B26">[1]!YBPRICE($A26,"0o",B$4,"Price","Swap",B$4,"Default","","",,"")</f>
        <v>-4.6693591799999998</v>
      </c>
      <c r="C26" s="9" cm="1">
        <f t="array" ref="C26">[1]!YBPRICE($A26,"0o",C$4,"Price","Swap",C$4,"Default","","",,"")</f>
        <v>-6.8285542000000001</v>
      </c>
      <c r="D26" s="9" cm="1">
        <f t="array" ref="D26">[1]!YBPRICE($A26,"0o",D$4,"Price","Swap",D$4,"Default","","",,"")</f>
        <v>-6.9467454399999999</v>
      </c>
      <c r="E26" s="9" cm="1">
        <f t="array" ref="E26">[1]!YBPRICE($A26,"0o",E$4,"Price","Swap",E$4,"Default","","",,"")</f>
        <v>-8.3184062599999997</v>
      </c>
      <c r="F26" s="9" cm="1">
        <f t="array" ref="F26">[1]!YBPRICE($A26,"0o",F$4,"Price","Swap",F$4,"Default","","",,"")</f>
        <v>-6.7342139899999998</v>
      </c>
      <c r="G26" s="9" cm="1">
        <f t="array" ref="G26">[1]!YBPRICE($A26,"0o",G$4,"Price","Swap",G$4,"Default","","",,"")</f>
        <v>-7.9665888899999997</v>
      </c>
      <c r="H26" s="9" cm="1">
        <f t="array" ref="H26">[1]!YBPRICE($A26,"0o",H$4,"Price","Swap",H$4,"Default","","",,"")</f>
        <v>-6.9386624699999997</v>
      </c>
      <c r="I26" s="9" cm="1">
        <f t="array" ref="I26">[1]!YBPRICE($A26,"0o",I$4,"Price","Swap",I$4,"Default","","",,"")</f>
        <v>-8.1945394799999995</v>
      </c>
      <c r="J26" s="9" cm="1">
        <f t="array" ref="J26">[1]!YBPRICE($A26,"0o",J$4,"Price","Swap",J$4,"Default","","",,"")</f>
        <v>-8.1325168100000003</v>
      </c>
      <c r="K26" s="9" cm="1">
        <f t="array" ref="K26">[1]!YBPRICE($A26,"0o",K$4,"Price","Swap",K$4,"Default","","",,"")</f>
        <v>-7.9194718200000001</v>
      </c>
      <c r="L26" s="9" cm="1">
        <f t="array" ref="L26">[1]!YBPRICE($A26,"0o",L$4,"Price","Swap",L$4,"Default","","",,"")</f>
        <v>-8.4473761500000002</v>
      </c>
    </row>
    <row r="27" spans="1:12" x14ac:dyDescent="0.2">
      <c r="A27" s="1" t="str">
        <f>[2]Userbonds!A25</f>
        <v>YBP_SWAP23</v>
      </c>
      <c r="B27" s="9" cm="1">
        <f t="array" ref="B27">[1]!YBPRICE($A27,"0o",B$4,"Price","Swap",B$4,"Default","","",,"")</f>
        <v>0.82034501999999998</v>
      </c>
      <c r="C27" s="9" cm="1">
        <f t="array" ref="C27">[1]!YBPRICE($A27,"0o",C$4,"Price","Swap",C$4,"Default","","",,"")</f>
        <v>-1.75975561</v>
      </c>
      <c r="D27" s="9" cm="1">
        <f t="array" ref="D27">[1]!YBPRICE($A27,"0o",D$4,"Price","Swap",D$4,"Default","","",,"")</f>
        <v>-1.79891617</v>
      </c>
      <c r="E27" s="9" cm="1">
        <f t="array" ref="E27">[1]!YBPRICE($A27,"0o",E$4,"Price","Swap",E$4,"Default","","",,"")</f>
        <v>-2.9916197100000002</v>
      </c>
      <c r="F27" s="9" cm="1">
        <f t="array" ref="F27">[1]!YBPRICE($A27,"0o",F$4,"Price","Swap",F$4,"Default","","",,"")</f>
        <v>-1.15151666</v>
      </c>
      <c r="G27" s="9" cm="1">
        <f t="array" ref="G27">[1]!YBPRICE($A27,"0o",G$4,"Price","Swap",G$4,"Default","","",,"")</f>
        <v>-2.6644487699999999</v>
      </c>
      <c r="H27" s="9" cm="1">
        <f t="array" ref="H27">[1]!YBPRICE($A27,"0o",H$4,"Price","Swap",H$4,"Default","","",,"")</f>
        <v>-1.5160868999999999</v>
      </c>
      <c r="I27" s="9" cm="1">
        <f t="array" ref="I27">[1]!YBPRICE($A27,"0o",I$4,"Price","Swap",I$4,"Default","","",,"")</f>
        <v>-2.6980762</v>
      </c>
      <c r="J27" s="9" cm="1">
        <f t="array" ref="J27">[1]!YBPRICE($A27,"0o",J$4,"Price","Swap",J$4,"Default","","",,"")</f>
        <v>-3.0069415400000001</v>
      </c>
      <c r="K27" s="9" cm="1">
        <f t="array" ref="K27">[1]!YBPRICE($A27,"0o",K$4,"Price","Swap",K$4,"Default","","",,"")</f>
        <v>-2.8434544599999998</v>
      </c>
      <c r="L27" s="9" cm="1">
        <f t="array" ref="L27">[1]!YBPRICE($A27,"0o",L$4,"Price","Swap",L$4,"Default","","",,"")</f>
        <v>-3.4242121299999999</v>
      </c>
    </row>
    <row r="28" spans="1:12" x14ac:dyDescent="0.2">
      <c r="A28" s="1" t="str">
        <f>[2]Userbonds!A26</f>
        <v>YBP_SWAP24</v>
      </c>
      <c r="B28" s="9" cm="1">
        <f t="array" ref="B28">[1]!YBPRICE($A28,"0o",B$4,"Price","Swap",B$4,"Default","","",,"")</f>
        <v>5.0099037900000001</v>
      </c>
      <c r="C28" s="9" cm="1">
        <f t="array" ref="C28">[1]!YBPRICE($A28,"0o",C$4,"Price","Swap",C$4,"Default","","",,"")</f>
        <v>3.93611201</v>
      </c>
      <c r="D28" s="9" cm="1">
        <f t="array" ref="D28">[1]!YBPRICE($A28,"0o",D$4,"Price","Swap",D$4,"Default","","",,"")</f>
        <v>3.59434086</v>
      </c>
      <c r="E28" s="9" cm="1">
        <f t="array" ref="E28">[1]!YBPRICE($A28,"0o",E$4,"Price","Swap",E$4,"Default","","",,"")</f>
        <v>2.4447159699999998</v>
      </c>
      <c r="F28" s="9" cm="1">
        <f t="array" ref="F28">[1]!YBPRICE($A28,"0o",F$4,"Price","Swap",F$4,"Default","","",,"")</f>
        <v>3.2264493600000002</v>
      </c>
      <c r="G28" s="9" cm="1">
        <f t="array" ref="G28">[1]!YBPRICE($A28,"0o",G$4,"Price","Swap",G$4,"Default","","",,"")</f>
        <v>2.5741686499999998</v>
      </c>
      <c r="H28" s="9" cm="1">
        <f t="array" ref="H28">[1]!YBPRICE($A28,"0o",H$4,"Price","Swap",H$4,"Default","","",,"")</f>
        <v>3.0791336299999998</v>
      </c>
      <c r="I28" s="9" cm="1">
        <f t="array" ref="I28">[1]!YBPRICE($A28,"0o",I$4,"Price","Swap",I$4,"Default","","",,"")</f>
        <v>2.1895508100000001</v>
      </c>
      <c r="J28" s="9" cm="1">
        <f t="array" ref="J28">[1]!YBPRICE($A28,"0o",J$4,"Price","Swap",J$4,"Default","","",,"")</f>
        <v>2.2270996200000002</v>
      </c>
      <c r="K28" s="9" cm="1">
        <f t="array" ref="K28">[1]!YBPRICE($A28,"0o",K$4,"Price","Swap",K$4,"Default","","",,"")</f>
        <v>2.2111433100000002</v>
      </c>
      <c r="L28" s="9" cm="1">
        <f t="array" ref="L28">[1]!YBPRICE($A28,"0o",L$4,"Price","Swap",L$4,"Default","","",,"")</f>
        <v>1.8904736200000001</v>
      </c>
    </row>
    <row r="29" spans="1:12" x14ac:dyDescent="0.2">
      <c r="A29" s="1" t="str">
        <f>[2]Userbonds!A27</f>
        <v>YBP_SWAP25</v>
      </c>
      <c r="B29" s="9" cm="1">
        <f t="array" ref="B29">[1]!YBPRICE($A29,"0o",B$4,"Price","Swap",B$4,"Default","","",,"")</f>
        <v>12.873781470000001</v>
      </c>
      <c r="C29" s="9" cm="1">
        <f t="array" ref="C29">[1]!YBPRICE($A29,"0o",C$4,"Price","Swap",C$4,"Default","","",,"")</f>
        <v>10.8378312</v>
      </c>
      <c r="D29" s="9" cm="1">
        <f t="array" ref="D29">[1]!YBPRICE($A29,"0o",D$4,"Price","Swap",D$4,"Default","","",,"")</f>
        <v>10.570418829999999</v>
      </c>
      <c r="E29" s="9" cm="1">
        <f t="array" ref="E29">[1]!YBPRICE($A29,"0o",E$4,"Price","Swap",E$4,"Default","","",,"")</f>
        <v>9.1798621399999991</v>
      </c>
      <c r="F29" s="9" cm="1">
        <f t="array" ref="F29">[1]!YBPRICE($A29,"0o",F$4,"Price","Swap",F$4,"Default","","",,"")</f>
        <v>10.406397030000001</v>
      </c>
      <c r="G29" s="9" cm="1">
        <f t="array" ref="G29">[1]!YBPRICE($A29,"0o",G$4,"Price","Swap",G$4,"Default","","",,"")</f>
        <v>9.1662403599999998</v>
      </c>
      <c r="H29" s="9" cm="1">
        <f t="array" ref="H29">[1]!YBPRICE($A29,"0o",H$4,"Price","Swap",H$4,"Default","","",,"")</f>
        <v>9.8912804899999998</v>
      </c>
      <c r="I29" s="9" cm="1">
        <f t="array" ref="I29">[1]!YBPRICE($A29,"0o",I$4,"Price","Swap",I$4,"Default","","",,"")</f>
        <v>8.6373185400000008</v>
      </c>
      <c r="J29" s="9" cm="1">
        <f t="array" ref="J29">[1]!YBPRICE($A29,"0o",J$4,"Price","Swap",J$4,"Default","","",,"")</f>
        <v>8.5487754700000007</v>
      </c>
      <c r="K29" s="9" cm="1">
        <f t="array" ref="K29">[1]!YBPRICE($A29,"0o",K$4,"Price","Swap",K$4,"Default","","",,"")</f>
        <v>8.5714548799999992</v>
      </c>
      <c r="L29" s="9" cm="1">
        <f t="array" ref="L29">[1]!YBPRICE($A29,"0o",L$4,"Price","Swap",L$4,"Default","","",,"")</f>
        <v>7.9689120500000001</v>
      </c>
    </row>
    <row r="30" spans="1:12" x14ac:dyDescent="0.2">
      <c r="A30" s="1" t="str">
        <f>[2]Userbonds!A28</f>
        <v>YBP_SWAP26</v>
      </c>
      <c r="B30" s="9" cm="1">
        <f t="array" ref="B30">[1]!YBPRICE($A30,"0o",B$4,"Price","Swap",B$4,"Default","","",,"")</f>
        <v>1.3431704099999999</v>
      </c>
      <c r="C30" s="9" cm="1">
        <f t="array" ref="C30">[1]!YBPRICE($A30,"0o",C$4,"Price","Swap",C$4,"Default","","",,"")</f>
        <v>-0.38666993</v>
      </c>
      <c r="D30" s="9" cm="1">
        <f t="array" ref="D30">[1]!YBPRICE($A30,"0o",D$4,"Price","Swap",D$4,"Default","","",,"")</f>
        <v>-0.58623194000000001</v>
      </c>
      <c r="E30" s="9" cm="1">
        <f t="array" ref="E30">[1]!YBPRICE($A30,"0o",E$4,"Price","Swap",E$4,"Default","","",,"")</f>
        <v>-2.0178987199999998</v>
      </c>
      <c r="F30" s="9" cm="1">
        <f t="array" ref="F30">[1]!YBPRICE($A30,"0o",F$4,"Price","Swap",F$4,"Default","","",,"")</f>
        <v>-0.81044777000000001</v>
      </c>
      <c r="G30" s="9" cm="1">
        <f t="array" ref="G30">[1]!YBPRICE($A30,"0o",G$4,"Price","Swap",G$4,"Default","","",,"")</f>
        <v>-1.75237675</v>
      </c>
      <c r="H30" s="9" cm="1">
        <f t="array" ref="H30">[1]!YBPRICE($A30,"0o",H$4,"Price","Swap",H$4,"Default","","",,"")</f>
        <v>-1.00630891</v>
      </c>
      <c r="I30" s="9" cm="1">
        <f t="array" ref="I30">[1]!YBPRICE($A30,"0o",I$4,"Price","Swap",I$4,"Default","","",,"")</f>
        <v>-2.1922446999999998</v>
      </c>
      <c r="J30" s="9" cm="1">
        <f t="array" ref="J30">[1]!YBPRICE($A30,"0o",J$4,"Price","Swap",J$4,"Default","","",,"")</f>
        <v>-1.9685224800000001</v>
      </c>
      <c r="K30" s="9" cm="1">
        <f t="array" ref="K30">[1]!YBPRICE($A30,"0o",K$4,"Price","Swap",K$4,"Default","","",,"")</f>
        <v>-1.8917393899999999</v>
      </c>
      <c r="L30" s="9" cm="1">
        <f t="array" ref="L30">[1]!YBPRICE($A30,"0o",L$4,"Price","Swap",L$4,"Default","","",,"")</f>
        <v>-2.3257731599999998</v>
      </c>
    </row>
    <row r="31" spans="1:12" x14ac:dyDescent="0.2">
      <c r="A31" s="1" t="str">
        <f>[2]Userbonds!A29</f>
        <v>YBP_SWAP27</v>
      </c>
      <c r="B31" s="9" cm="1">
        <f t="array" ref="B31">[1]!YBPRICE($A31,"0o",B$4,"Price","Swap",B$4,"Default","","",,"")</f>
        <v>14.729557720000001</v>
      </c>
      <c r="C31" s="9" cm="1">
        <f t="array" ref="C31">[1]!YBPRICE($A31,"0o",C$4,"Price","Swap",C$4,"Default","","",,"")</f>
        <v>13.12567497</v>
      </c>
      <c r="D31" s="9" cm="1">
        <f t="array" ref="D31">[1]!YBPRICE($A31,"0o",D$4,"Price","Swap",D$4,"Default","","",,"")</f>
        <v>12.68668405</v>
      </c>
      <c r="E31" s="9" cm="1">
        <f t="array" ref="E31">[1]!YBPRICE($A31,"0o",E$4,"Price","Swap",E$4,"Default","","",,"")</f>
        <v>11.244380400000001</v>
      </c>
      <c r="F31" s="9" cm="1">
        <f t="array" ref="F31">[1]!YBPRICE($A31,"0o",F$4,"Price","Swap",F$4,"Default","","",,"")</f>
        <v>12.063557490000001</v>
      </c>
      <c r="G31" s="9" cm="1">
        <f t="array" ref="G31">[1]!YBPRICE($A31,"0o",G$4,"Price","Swap",G$4,"Default","","",,"")</f>
        <v>11.077491459999999</v>
      </c>
      <c r="H31" s="9" cm="1">
        <f t="array" ref="H31">[1]!YBPRICE($A31,"0o",H$4,"Price","Swap",H$4,"Default","","",,"")</f>
        <v>11.550801939999999</v>
      </c>
      <c r="I31" s="9" cm="1">
        <f t="array" ref="I31">[1]!YBPRICE($A31,"0o",I$4,"Price","Swap",I$4,"Default","","",,"")</f>
        <v>10.34727039</v>
      </c>
      <c r="J31" s="9" cm="1">
        <f t="array" ref="J31">[1]!YBPRICE($A31,"0o",J$4,"Price","Swap",J$4,"Default","","",,"")</f>
        <v>10.340038939999999</v>
      </c>
      <c r="K31" s="9" cm="1">
        <f t="array" ref="K31">[1]!YBPRICE($A31,"0o",K$4,"Price","Swap",K$4,"Default","","",,"")</f>
        <v>10.23937602</v>
      </c>
      <c r="L31" s="9" cm="1">
        <f t="array" ref="L31">[1]!YBPRICE($A31,"0o",L$4,"Price","Swap",L$4,"Default","","",,"")</f>
        <v>9.6897628299999994</v>
      </c>
    </row>
    <row r="32" spans="1:12" x14ac:dyDescent="0.2">
      <c r="A32" s="1" t="str">
        <f>[2]Userbonds!A30</f>
        <v>YBP_SWAP28</v>
      </c>
      <c r="B32" s="9" cm="1">
        <f t="array" ref="B32">[1]!YBPRICE($A32,"0o",B$4,"Price","Swap",B$4,"Default","","",,"")</f>
        <v>15.9750102</v>
      </c>
      <c r="C32" s="9" cm="1">
        <f t="array" ref="C32">[1]!YBPRICE($A32,"0o",C$4,"Price","Swap",C$4,"Default","","",,"")</f>
        <v>13.54075864</v>
      </c>
      <c r="D32" s="9" cm="1">
        <f t="array" ref="D32">[1]!YBPRICE($A32,"0o",D$4,"Price","Swap",D$4,"Default","","",,"")</f>
        <v>13.42791899</v>
      </c>
      <c r="E32" s="9" cm="1">
        <f t="array" ref="E32">[1]!YBPRICE($A32,"0o",E$4,"Price","Swap",E$4,"Default","","",,"")</f>
        <v>12.291675379999999</v>
      </c>
      <c r="F32" s="9" cm="1">
        <f t="array" ref="F32">[1]!YBPRICE($A32,"0o",F$4,"Price","Swap",F$4,"Default","","",,"")</f>
        <v>13.85437836</v>
      </c>
      <c r="G32" s="9" cm="1">
        <f t="array" ref="G32">[1]!YBPRICE($A32,"0o",G$4,"Price","Swap",G$4,"Default","","",,"")</f>
        <v>12.39368661</v>
      </c>
      <c r="H32" s="9" cm="1">
        <f t="array" ref="H32">[1]!YBPRICE($A32,"0o",H$4,"Price","Swap",H$4,"Default","","",,"")</f>
        <v>13.321147740000001</v>
      </c>
      <c r="I32" s="9" cm="1">
        <f t="array" ref="I32">[1]!YBPRICE($A32,"0o",I$4,"Price","Swap",I$4,"Default","","",,"")</f>
        <v>12.18160767</v>
      </c>
      <c r="J32" s="9" cm="1">
        <f t="array" ref="J32">[1]!YBPRICE($A32,"0o",J$4,"Price","Swap",J$4,"Default","","",,"")</f>
        <v>11.78644016</v>
      </c>
      <c r="K32" s="9" cm="1">
        <f t="array" ref="K32">[1]!YBPRICE($A32,"0o",K$4,"Price","Swap",K$4,"Default","","",,"")</f>
        <v>11.82540442</v>
      </c>
      <c r="L32" s="9" cm="1">
        <f t="array" ref="L32">[1]!YBPRICE($A32,"0o",L$4,"Price","Swap",L$4,"Default","","",,"")</f>
        <v>11.215196450000001</v>
      </c>
    </row>
    <row r="33" spans="1:12" x14ac:dyDescent="0.2">
      <c r="A33" s="1" t="str">
        <f>[2]Userbonds!A31</f>
        <v>YBP_SWAP29</v>
      </c>
      <c r="B33" s="9" cm="1">
        <f t="array" ref="B33">[1]!YBPRICE($A33,"0o",B$4,"Price","Swap",B$4,"Default","","",,"")</f>
        <v>0.89528848999999999</v>
      </c>
      <c r="C33" s="9" cm="1">
        <f t="array" ref="C33">[1]!YBPRICE($A33,"0o",C$4,"Price","Swap",C$4,"Default","","",,"")</f>
        <v>0.74447556999999998</v>
      </c>
      <c r="D33" s="9" cm="1">
        <f t="array" ref="D33">[1]!YBPRICE($A33,"0o",D$4,"Price","Swap",D$4,"Default","","",,"")</f>
        <v>0.66895346</v>
      </c>
      <c r="E33" s="9" cm="1">
        <f t="array" ref="E33">[1]!YBPRICE($A33,"0o",E$4,"Price","Swap",E$4,"Default","","",,"")</f>
        <v>0.51184311999999998</v>
      </c>
      <c r="F33" s="9" cm="1">
        <f t="array" ref="F33">[1]!YBPRICE($A33,"0o",F$4,"Price","Swap",F$4,"Default","","",,"")</f>
        <v>0.64174827000000001</v>
      </c>
      <c r="G33" s="9" cm="1">
        <f t="array" ref="G33">[1]!YBPRICE($A33,"0o",G$4,"Price","Swap",G$4,"Default","","",,"")</f>
        <v>0.51483615999999999</v>
      </c>
      <c r="H33" s="9" cm="1">
        <f t="array" ref="H33">[1]!YBPRICE($A33,"0o",H$4,"Price","Swap",H$4,"Default","","",,"")</f>
        <v>0.50605235000000004</v>
      </c>
      <c r="I33" s="9" cm="1">
        <f t="array" ref="I33">[1]!YBPRICE($A33,"0o",I$4,"Price","Swap",I$4,"Default","","",,"")</f>
        <v>0.36384907</v>
      </c>
      <c r="J33" s="9" cm="1">
        <f t="array" ref="J33">[1]!YBPRICE($A33,"0o",J$4,"Price","Swap",J$4,"Default","","",,"")</f>
        <v>0.23916593</v>
      </c>
      <c r="K33" s="9" cm="1">
        <f t="array" ref="K33">[1]!YBPRICE($A33,"0o",K$4,"Price","Swap",K$4,"Default","","",,"")</f>
        <v>0.16295434</v>
      </c>
      <c r="L33" s="9" cm="1">
        <f t="array" ref="L33">[1]!YBPRICE($A33,"0o",L$4,"Price","Swap",L$4,"Default","","",,"")</f>
        <v>0.10514355</v>
      </c>
    </row>
    <row r="34" spans="1:12" ht="16" thickBot="1" x14ac:dyDescent="0.25">
      <c r="A34" s="1" t="str">
        <f>[2]Userbonds!A32</f>
        <v>YBP_SWAP30</v>
      </c>
      <c r="B34" s="19" cm="1">
        <f t="array" ref="B34">[1]!YBPRICE($A34,"0o",B$4,"Price","Swap",B$4,"Default","","",,"")</f>
        <v>2.86024E-2</v>
      </c>
      <c r="C34" s="19" cm="1">
        <f t="array" ref="C34">[1]!YBPRICE($A34,"0o",C$4,"Price","Swap",C$4,"Default","","",,"")</f>
        <v>2.6023864400000001</v>
      </c>
      <c r="D34" s="19" cm="1">
        <f t="array" ref="D34">[1]!YBPRICE($A34,"0o",D$4,"Price","Swap",D$4,"Default","","",,"")</f>
        <v>2.6362852600000002</v>
      </c>
      <c r="E34" s="19" cm="1">
        <f t="array" ref="E34">[1]!YBPRICE($A34,"0o",E$4,"Price","Swap",E$4,"Default","","",,"")</f>
        <v>3.84397389</v>
      </c>
      <c r="F34" s="19" cm="1">
        <f t="array" ref="F34">[1]!YBPRICE($A34,"0o",F$4,"Price","Swap",F$4,"Default","","",,"")</f>
        <v>1.99839393</v>
      </c>
      <c r="G34" s="19" cm="1">
        <f t="array" ref="G34">[1]!YBPRICE($A34,"0o",G$4,"Price","Swap",G$4,"Default","","",,"")</f>
        <v>3.4974580099999999</v>
      </c>
      <c r="H34" s="19" cm="1">
        <f t="array" ref="H34">[1]!YBPRICE($A34,"0o",H$4,"Price","Swap",H$4,"Default","","",,"")</f>
        <v>2.3597367299999998</v>
      </c>
      <c r="I34" s="19" cm="1">
        <f t="array" ref="I34">[1]!YBPRICE($A34,"0o",I$4,"Price","Swap",I$4,"Default","","",,"")</f>
        <v>3.4212142800000001</v>
      </c>
      <c r="J34" s="19" cm="1">
        <f t="array" ref="J34">[1]!YBPRICE($A34,"0o",J$4,"Price","Swap",J$4,"Default","","",,"")</f>
        <v>3.6241887500000001</v>
      </c>
      <c r="K34" s="19" cm="1">
        <f t="array" ref="K34">[1]!YBPRICE($A34,"0o",K$4,"Price","Swap",K$4,"Default","","",,"")</f>
        <v>3.4807635800000001</v>
      </c>
      <c r="L34" s="19" cm="1">
        <f t="array" ref="L34">[1]!YBPRICE($A34,"0o",L$4,"Price","Swap",L$4,"Default","","",,"")</f>
        <v>4.0059397700000003</v>
      </c>
    </row>
    <row r="35" spans="1:12" ht="16" thickBot="1" x14ac:dyDescent="0.25">
      <c r="A35" s="4"/>
      <c r="B35" s="18">
        <f>SUM(B5:B34)</f>
        <v>-29.451439610000005</v>
      </c>
      <c r="C35" s="18">
        <f t="shared" ref="C35:K35" si="0">SUM(C5:C34)</f>
        <v>-23.774932260000011</v>
      </c>
      <c r="D35" s="18">
        <f t="shared" si="0"/>
        <v>-25.416255070000002</v>
      </c>
      <c r="E35" s="18">
        <f t="shared" si="0"/>
        <v>-26.939818730000006</v>
      </c>
      <c r="F35" s="18">
        <f t="shared" si="0"/>
        <v>-31.554744069999991</v>
      </c>
      <c r="G35" s="18">
        <f t="shared" si="0"/>
        <v>-27.963381030000015</v>
      </c>
      <c r="H35" s="18">
        <f t="shared" si="0"/>
        <v>-30.455343990000003</v>
      </c>
      <c r="I35" s="18">
        <f t="shared" si="0"/>
        <v>-31.478624719999999</v>
      </c>
      <c r="J35" s="18">
        <f t="shared" si="0"/>
        <v>-27.90382996000001</v>
      </c>
      <c r="K35" s="18">
        <f t="shared" si="0"/>
        <v>-28.132856169999997</v>
      </c>
      <c r="L35" s="18">
        <f>SUM(L5:L34)</f>
        <v>-27.938075989999998</v>
      </c>
    </row>
    <row r="38" spans="1:12" x14ac:dyDescent="0.2">
      <c r="A38" s="20" t="s">
        <v>84</v>
      </c>
      <c r="B38" s="20"/>
      <c r="C38" s="20"/>
      <c r="D38" s="20"/>
      <c r="E38" s="20"/>
      <c r="F38" s="20"/>
      <c r="G38" s="20"/>
      <c r="H38" s="20"/>
      <c r="I38" s="20"/>
      <c r="J38" s="20"/>
      <c r="K38" s="20"/>
      <c r="L38" s="20"/>
    </row>
    <row r="39" spans="1:12" x14ac:dyDescent="0.2">
      <c r="A39" s="15" t="s">
        <v>116</v>
      </c>
      <c r="B39" s="17">
        <v>45688</v>
      </c>
      <c r="C39" s="17">
        <v>45716</v>
      </c>
      <c r="D39" s="17">
        <v>45747</v>
      </c>
      <c r="E39" s="17">
        <v>45777</v>
      </c>
      <c r="F39" s="17">
        <v>45807</v>
      </c>
      <c r="G39" s="17">
        <v>45838</v>
      </c>
      <c r="H39" s="17">
        <v>45869</v>
      </c>
      <c r="I39" s="17">
        <v>45898</v>
      </c>
      <c r="J39" s="17">
        <v>45930</v>
      </c>
      <c r="K39" s="17">
        <v>45961</v>
      </c>
      <c r="L39" s="17">
        <v>45989</v>
      </c>
    </row>
    <row r="40" spans="1:12" x14ac:dyDescent="0.2">
      <c r="A40" s="1" t="s">
        <v>85</v>
      </c>
      <c r="B40" s="9">
        <f>(B5/100)*Portfolio!$B3</f>
        <v>-71695.616124399996</v>
      </c>
      <c r="C40" s="9">
        <f>(C5/100)*Portfolio!$B3</f>
        <v>-57909.391967600008</v>
      </c>
      <c r="D40" s="9">
        <f>(D5/100)*Portfolio!$B3</f>
        <v>-51960.672609600006</v>
      </c>
      <c r="E40" s="9">
        <f>(E5/100)*Portfolio!$B3</f>
        <v>-38163.0544304</v>
      </c>
      <c r="F40" s="9">
        <f>(F5/100)*Portfolio!$B3</f>
        <v>-51351.163230400001</v>
      </c>
      <c r="G40" s="9">
        <f>(G5/100)*Portfolio!$B3</f>
        <v>-40673.839986799998</v>
      </c>
      <c r="H40" s="9">
        <f>(H5/100)*Portfolio!$B3</f>
        <v>-41324.970399999998</v>
      </c>
      <c r="I40" s="9">
        <f>(I5/100)*Portfolio!$B3</f>
        <v>-27401.638304799999</v>
      </c>
      <c r="J40" s="9">
        <f>(J5/100)*Portfolio!$B3</f>
        <v>-17333.435918400002</v>
      </c>
      <c r="K40" s="9">
        <f>(K5/100)*Portfolio!$B3</f>
        <v>-11604.2511624</v>
      </c>
      <c r="L40" s="9">
        <f>(L5/100)*Portfolio!$B3</f>
        <v>-6137.0767907999998</v>
      </c>
    </row>
    <row r="41" spans="1:12" x14ac:dyDescent="0.2">
      <c r="A41" s="1" t="s">
        <v>86</v>
      </c>
      <c r="B41" s="9">
        <f>(B6/100)*Portfolio!$B4</f>
        <v>-120623.85891919999</v>
      </c>
      <c r="C41" s="9">
        <f>(C6/100)*Portfolio!$B$4</f>
        <v>4010.5042431999996</v>
      </c>
      <c r="D41" s="9">
        <f>(D6/100)*Portfolio!$B$4</f>
        <v>9309.0734620000003</v>
      </c>
      <c r="E41" s="9">
        <f>(E6/100)*Portfolio!$B$4</f>
        <v>79079.715525199994</v>
      </c>
      <c r="F41" s="9">
        <f>(F6/100)*Portfolio!$B$4</f>
        <v>-7483.1268304000005</v>
      </c>
      <c r="G41" s="9">
        <f>(G6/100)*Portfolio!$B$4</f>
        <v>65974.135193199996</v>
      </c>
      <c r="H41" s="9">
        <f>(H6/100)*Portfolio!$B$4</f>
        <v>12069.541936399999</v>
      </c>
      <c r="I41" s="9">
        <f>(I6/100)*Portfolio!$B$4</f>
        <v>77680.56014680001</v>
      </c>
      <c r="J41" s="9">
        <f>(J6/100)*Portfolio!$B$4</f>
        <v>85123.320947600005</v>
      </c>
      <c r="K41" s="9">
        <f>(K6/100)*Portfolio!$B$4</f>
        <v>77869.598024399995</v>
      </c>
      <c r="L41" s="9">
        <f>(L6/100)*Portfolio!$B$4</f>
        <v>108428.9051716</v>
      </c>
    </row>
    <row r="42" spans="1:12" x14ac:dyDescent="0.2">
      <c r="A42" s="1" t="s">
        <v>87</v>
      </c>
      <c r="B42" s="9">
        <f>(B7/100)*Portfolio!$B5</f>
        <v>-1140771.5064447997</v>
      </c>
      <c r="C42" s="9">
        <f>(C7/100)*Portfolio!$B5</f>
        <v>-1035536.2445119998</v>
      </c>
      <c r="D42" s="9">
        <f>(D7/100)*Portfolio!$B5</f>
        <v>-1019675.6084095999</v>
      </c>
      <c r="E42" s="9">
        <f>(E7/100)*Portfolio!$B5</f>
        <v>-952059.58778879978</v>
      </c>
      <c r="F42" s="9">
        <f>(F7/100)*Portfolio!$B5</f>
        <v>-1008843.2553151998</v>
      </c>
      <c r="G42" s="9">
        <f>(G7/100)*Portfolio!$B5</f>
        <v>-942458.03902079992</v>
      </c>
      <c r="H42" s="9">
        <f>(H7/100)*Portfolio!$B5</f>
        <v>-974163.38785919978</v>
      </c>
      <c r="I42" s="9">
        <f>(I7/100)*Portfolio!$B5</f>
        <v>-911391.9177343999</v>
      </c>
      <c r="J42" s="9">
        <f>(J7/100)*Portfolio!$B5</f>
        <v>-899512.91449599992</v>
      </c>
      <c r="K42" s="9">
        <f>(K7/100)*Portfolio!$B5</f>
        <v>-896932.75123839988</v>
      </c>
      <c r="L42" s="9">
        <f>(L7/100)*Portfolio!$B5</f>
        <v>-863367.69639039983</v>
      </c>
    </row>
    <row r="43" spans="1:12" x14ac:dyDescent="0.2">
      <c r="A43" s="1" t="s">
        <v>88</v>
      </c>
      <c r="B43" s="9">
        <f>(B8/100)*Portfolio!$B6</f>
        <v>57504.037551400004</v>
      </c>
      <c r="C43" s="9">
        <f>(C8/100)*Portfolio!$B6</f>
        <v>360961.82154439995</v>
      </c>
      <c r="D43" s="9">
        <f>(D8/100)*Portfolio!$B6</f>
        <v>332193.52496139996</v>
      </c>
      <c r="E43" s="9">
        <f>(E8/100)*Portfolio!$B6</f>
        <v>410865.18515660003</v>
      </c>
      <c r="F43" s="9">
        <f>(F8/100)*Portfolio!$B6</f>
        <v>177433.01521499999</v>
      </c>
      <c r="G43" s="9">
        <f>(G8/100)*Portfolio!$B6</f>
        <v>355561.01836479997</v>
      </c>
      <c r="H43" s="9">
        <f>(H8/100)*Portfolio!$B6</f>
        <v>221890.2994092</v>
      </c>
      <c r="I43" s="9">
        <f>(I8/100)*Portfolio!$B6</f>
        <v>292163.7055556</v>
      </c>
      <c r="J43" s="9">
        <f>(J8/100)*Portfolio!$B6</f>
        <v>373123.75589580002</v>
      </c>
      <c r="K43" s="9">
        <f>(K8/100)*Portfolio!$B6</f>
        <v>353104.63326719997</v>
      </c>
      <c r="L43" s="9">
        <f>(L8/100)*Portfolio!$B6</f>
        <v>389000.68580800004</v>
      </c>
    </row>
    <row r="44" spans="1:12" x14ac:dyDescent="0.2">
      <c r="A44" s="1" t="s">
        <v>89</v>
      </c>
      <c r="B44" s="9">
        <f>(B9/100)*Portfolio!$B7</f>
        <v>697168.35622439999</v>
      </c>
      <c r="C44" s="9">
        <f>(C9/100)*Portfolio!$B7</f>
        <v>586211.0114790001</v>
      </c>
      <c r="D44" s="9">
        <f>(D9/100)*Portfolio!$B7</f>
        <v>561181.96396620001</v>
      </c>
      <c r="E44" s="9">
        <f>(E9/100)*Portfolio!$B7</f>
        <v>464472.90788759995</v>
      </c>
      <c r="F44" s="9">
        <f>(F9/100)*Portfolio!$B7</f>
        <v>528266.83999500005</v>
      </c>
      <c r="G44" s="9">
        <f>(G9/100)*Portfolio!$B7</f>
        <v>463111.92570960004</v>
      </c>
      <c r="H44" s="9">
        <f>(H9/100)*Portfolio!$B7</f>
        <v>502242.95795939997</v>
      </c>
      <c r="I44" s="9">
        <f>(I9/100)*Portfolio!$B7</f>
        <v>420425.71253640001</v>
      </c>
      <c r="J44" s="9">
        <f>(J9/100)*Portfolio!$B7</f>
        <v>425986.12689839996</v>
      </c>
      <c r="K44" s="9">
        <f>(K9/100)*Portfolio!$B7</f>
        <v>423975.83017140004</v>
      </c>
      <c r="L44" s="9">
        <f>(L9/100)*Portfolio!$B7</f>
        <v>388659.73604580003</v>
      </c>
    </row>
    <row r="45" spans="1:12" x14ac:dyDescent="0.2">
      <c r="A45" s="1" t="s">
        <v>90</v>
      </c>
      <c r="B45" s="9">
        <f>(B10/100)*Portfolio!$B8</f>
        <v>652474.34524479997</v>
      </c>
      <c r="C45" s="9">
        <f>(C10/100)*Portfolio!$B8</f>
        <v>562604.85508779995</v>
      </c>
      <c r="D45" s="9">
        <f>(D10/100)*Portfolio!$B8</f>
        <v>557998.56783059996</v>
      </c>
      <c r="E45" s="9">
        <f>(E10/100)*Portfolio!$B8</f>
        <v>515689.55761109997</v>
      </c>
      <c r="F45" s="9">
        <f>(F10/100)*Portfolio!$B8</f>
        <v>573333.8624174</v>
      </c>
      <c r="G45" s="9">
        <f>(G10/100)*Portfolio!$B8</f>
        <v>518374.13807309995</v>
      </c>
      <c r="H45" s="9">
        <f>(H10/100)*Portfolio!$B8</f>
        <v>552322.39938129997</v>
      </c>
      <c r="I45" s="9">
        <f>(I10/100)*Portfolio!$B8</f>
        <v>510793.99216759991</v>
      </c>
      <c r="J45" s="9">
        <f>(J10/100)*Portfolio!$B8</f>
        <v>494837.17225249985</v>
      </c>
      <c r="K45" s="9">
        <f>(K10/100)*Portfolio!$B8</f>
        <v>496092.45045069995</v>
      </c>
      <c r="L45" s="9">
        <f>(L10/100)*Portfolio!$B8</f>
        <v>473718.45920089987</v>
      </c>
    </row>
    <row r="46" spans="1:12" x14ac:dyDescent="0.2">
      <c r="A46" s="1" t="s">
        <v>91</v>
      </c>
      <c r="B46" s="9">
        <f>(B11/100)*Portfolio!$B9</f>
        <v>-4775.0281379999988</v>
      </c>
      <c r="C46" s="9">
        <f>(C11/100)*Portfolio!$B9</f>
        <v>-9214.621419699999</v>
      </c>
      <c r="D46" s="9">
        <f>(D11/100)*Portfolio!$B9</f>
        <v>-9194.7591183000004</v>
      </c>
      <c r="E46" s="9">
        <f>(E11/100)*Portfolio!$B9</f>
        <v>-13839.575866699997</v>
      </c>
      <c r="F46" s="9">
        <f>(F11/100)*Portfolio!$B9</f>
        <v>-4162.6310774999993</v>
      </c>
      <c r="G46" s="9">
        <f>(G11/100)*Portfolio!$B9</f>
        <v>-6072.7019723999992</v>
      </c>
      <c r="H46" s="9">
        <f>(H11/100)*Portfolio!$B9</f>
        <v>-1154.9504919999997</v>
      </c>
      <c r="I46" s="9">
        <f>(I11/100)*Portfolio!$B9</f>
        <v>-5759.5058802999984</v>
      </c>
      <c r="J46" s="9">
        <f>(J11/100)*Portfolio!$B9</f>
        <v>-6921.6753831999986</v>
      </c>
      <c r="K46" s="9">
        <f>(K11/100)*Portfolio!$B9</f>
        <v>-5969.3502830999996</v>
      </c>
      <c r="L46" s="9">
        <f>(L11/100)*Portfolio!$B9</f>
        <v>-6128.9767548999989</v>
      </c>
    </row>
    <row r="47" spans="1:12" x14ac:dyDescent="0.2">
      <c r="A47" s="1" t="s">
        <v>92</v>
      </c>
      <c r="B47" s="9">
        <f>(B12/100)*Portfolio!$B10</f>
        <v>49413.022208000009</v>
      </c>
      <c r="C47" s="9">
        <f>(C12/100)*Portfolio!$B10</f>
        <v>36540.033991999997</v>
      </c>
      <c r="D47" s="9">
        <f>(D12/100)*Portfolio!$B10</f>
        <v>33689.696832000001</v>
      </c>
      <c r="E47" s="9">
        <f>(E12/100)*Portfolio!$B10</f>
        <v>21750.703920000004</v>
      </c>
      <c r="F47" s="9">
        <f>(F12/100)*Portfolio!$B10</f>
        <v>30269.381736000003</v>
      </c>
      <c r="G47" s="9">
        <f>(G12/100)*Portfolio!$B10</f>
        <v>22851.533584000001</v>
      </c>
      <c r="H47" s="9">
        <f>(H12/100)*Portfolio!$B10</f>
        <v>28212.475456000004</v>
      </c>
      <c r="I47" s="9">
        <f>(I12/100)*Portfolio!$B10</f>
        <v>18642.488392000003</v>
      </c>
      <c r="J47" s="9">
        <f>(J12/100)*Portfolio!$B10</f>
        <v>19839.053696000003</v>
      </c>
      <c r="K47" s="9">
        <f>(K12/100)*Portfolio!$B10</f>
        <v>20044.980120000004</v>
      </c>
      <c r="L47" s="9">
        <f>(L12/100)*Portfolio!$B10</f>
        <v>16372.423760000001</v>
      </c>
    </row>
    <row r="48" spans="1:12" x14ac:dyDescent="0.2">
      <c r="A48" s="1" t="s">
        <v>93</v>
      </c>
      <c r="B48" s="9">
        <f>(B13/100)*Portfolio!$B11</f>
        <v>-631366.58571140002</v>
      </c>
      <c r="C48" s="9">
        <f>(C13/100)*Portfolio!$B11</f>
        <v>-438910.76570129994</v>
      </c>
      <c r="D48" s="9">
        <f>(D13/100)*Portfolio!$B11</f>
        <v>-429635.68400920002</v>
      </c>
      <c r="E48" s="9">
        <f>(E13/100)*Portfolio!$B11</f>
        <v>-329148.68416629999</v>
      </c>
      <c r="F48" s="9">
        <f>(F13/100)*Portfolio!$B11</f>
        <v>-458760.49772730004</v>
      </c>
      <c r="G48" s="9">
        <f>(G13/100)*Portfolio!$B11</f>
        <v>-343257.57439599995</v>
      </c>
      <c r="H48" s="9">
        <f>(H13/100)*Portfolio!$B11</f>
        <v>-421964.37535529997</v>
      </c>
      <c r="I48" s="9">
        <f>(I13/100)*Portfolio!$B11</f>
        <v>-327699.63965130004</v>
      </c>
      <c r="J48" s="9">
        <f>(J13/100)*Portfolio!$B11</f>
        <v>-306430.32239580003</v>
      </c>
      <c r="K48" s="9">
        <f>(K13/100)*Portfolio!$B11</f>
        <v>-311505.3245404</v>
      </c>
      <c r="L48" s="9">
        <f>(L13/100)*Portfolio!$B11</f>
        <v>-266491.84337439999</v>
      </c>
    </row>
    <row r="49" spans="1:12" x14ac:dyDescent="0.2">
      <c r="A49" s="1" t="s">
        <v>94</v>
      </c>
      <c r="B49" s="9">
        <f>(B14/100)*Portfolio!$B12</f>
        <v>-22968.543949000003</v>
      </c>
      <c r="C49" s="9">
        <f>(C14/100)*Portfolio!$B12</f>
        <v>-17975.177778000001</v>
      </c>
      <c r="D49" s="9">
        <f>(D14/100)*Portfolio!$B12</f>
        <v>-16735.524487500003</v>
      </c>
      <c r="E49" s="9">
        <f>(E14/100)*Portfolio!$B12</f>
        <v>-11972.597514000001</v>
      </c>
      <c r="F49" s="9">
        <f>(F14/100)*Portfolio!$B12</f>
        <v>-15236.921807500001</v>
      </c>
      <c r="G49" s="9">
        <f>(G14/100)*Portfolio!$B12</f>
        <v>-12298.914366000001</v>
      </c>
      <c r="H49" s="9">
        <f>(H14/100)*Portfolio!$B12</f>
        <v>-14365.58052</v>
      </c>
      <c r="I49" s="9">
        <f>(I14/100)*Portfolio!$B12</f>
        <v>-10599.516621500003</v>
      </c>
      <c r="J49" s="9">
        <f>(J14/100)*Portfolio!$B12</f>
        <v>-10960.303796000002</v>
      </c>
      <c r="K49" s="9">
        <f>(K14/100)*Portfolio!$B12</f>
        <v>-10958.486125000001</v>
      </c>
      <c r="L49" s="9">
        <f>(L14/100)*Portfolio!$B12</f>
        <v>-9525.9787650000017</v>
      </c>
    </row>
    <row r="50" spans="1:12" x14ac:dyDescent="0.2">
      <c r="A50" s="1" t="s">
        <v>95</v>
      </c>
      <c r="B50" s="9">
        <f>(B15/100)*Portfolio!$B13</f>
        <v>-101191.32183870001</v>
      </c>
      <c r="C50" s="9">
        <f>(C15/100)*Portfolio!$B13</f>
        <v>-87924.467076699992</v>
      </c>
      <c r="D50" s="9">
        <f>(D15/100)*Portfolio!$B13</f>
        <v>-80991.366548199992</v>
      </c>
      <c r="E50" s="9">
        <f>(E15/100)*Portfolio!$B13</f>
        <v>-65086.657812199992</v>
      </c>
      <c r="F50" s="9">
        <f>(F15/100)*Portfolio!$B13</f>
        <v>-74628.302363900002</v>
      </c>
      <c r="G50" s="9">
        <f>(G15/100)*Portfolio!$B13</f>
        <v>-64735.240912499998</v>
      </c>
      <c r="H50" s="9">
        <f>(H15/100)*Portfolio!$B13</f>
        <v>-70127.527948799994</v>
      </c>
      <c r="I50" s="9">
        <f>(I15/100)*Portfolio!$B13</f>
        <v>-57188.968762600001</v>
      </c>
      <c r="J50" s="9">
        <f>(J15/100)*Portfolio!$B13</f>
        <v>-52299.895043300006</v>
      </c>
      <c r="K50" s="9">
        <f>(K15/100)*Portfolio!$B13</f>
        <v>-49685.305213</v>
      </c>
      <c r="L50" s="9">
        <f>(L15/100)*Portfolio!$B13</f>
        <v>-44402.880343500001</v>
      </c>
    </row>
    <row r="51" spans="1:12" x14ac:dyDescent="0.2">
      <c r="A51" s="1" t="s">
        <v>96</v>
      </c>
      <c r="B51" s="9">
        <f>(B16/100)*Portfolio!$B14</f>
        <v>-715778.32045999996</v>
      </c>
      <c r="C51" s="9">
        <f>(C16/100)*Portfolio!$B14</f>
        <v>-509076.90944600001</v>
      </c>
      <c r="D51" s="9">
        <f>(D16/100)*Portfolio!$B14</f>
        <v>-502827.09525999997</v>
      </c>
      <c r="E51" s="9">
        <f>(E16/100)*Portfolio!$B14</f>
        <v>-404880.21349999995</v>
      </c>
      <c r="F51" s="9">
        <f>(F16/100)*Portfolio!$B14</f>
        <v>-546110.24113799992</v>
      </c>
      <c r="G51" s="9">
        <f>(G16/100)*Portfolio!$B14</f>
        <v>-422775.69100199995</v>
      </c>
      <c r="H51" s="9">
        <f>(H16/100)*Portfolio!$B14</f>
        <v>-507481.59204400005</v>
      </c>
      <c r="I51" s="9">
        <f>(I16/100)*Portfolio!$B14</f>
        <v>-413067.81377400004</v>
      </c>
      <c r="J51" s="9">
        <f>(J16/100)*Portfolio!$B14</f>
        <v>-384539.80573399999</v>
      </c>
      <c r="K51" s="9">
        <f>(K16/100)*Portfolio!$B14</f>
        <v>-391807.75164999999</v>
      </c>
      <c r="L51" s="9">
        <f>(L16/100)*Portfolio!$B14</f>
        <v>-343598.55818399996</v>
      </c>
    </row>
    <row r="52" spans="1:12" x14ac:dyDescent="0.2">
      <c r="A52" s="1" t="s">
        <v>97</v>
      </c>
      <c r="B52" s="9">
        <f>(B17/100)*Portfolio!$B15</f>
        <v>-10090.203884999999</v>
      </c>
      <c r="C52" s="9">
        <f>(C17/100)*Portfolio!$B15</f>
        <v>44552.934143999999</v>
      </c>
      <c r="D52" s="9">
        <f>(D17/100)*Portfolio!$B15</f>
        <v>46714.069777500008</v>
      </c>
      <c r="E52" s="9">
        <f>(E17/100)*Portfolio!$B15</f>
        <v>76518.480640499998</v>
      </c>
      <c r="F52" s="9">
        <f>(F17/100)*Portfolio!$B15</f>
        <v>37800.130734000006</v>
      </c>
      <c r="G52" s="9">
        <f>(G17/100)*Portfolio!$B15</f>
        <v>70011.090071999992</v>
      </c>
      <c r="H52" s="9">
        <f>(H17/100)*Portfolio!$B15</f>
        <v>45776.663028000003</v>
      </c>
      <c r="I52" s="9">
        <f>(I17/100)*Portfolio!$B15</f>
        <v>73971.544949999996</v>
      </c>
      <c r="J52" s="9">
        <f>(J17/100)*Portfolio!$B15</f>
        <v>77479.946792999996</v>
      </c>
      <c r="K52" s="9">
        <f>(K17/100)*Portfolio!$B15</f>
        <v>73759.403412</v>
      </c>
      <c r="L52" s="9">
        <f>(L17/100)*Portfolio!$B15</f>
        <v>86814.033551999994</v>
      </c>
    </row>
    <row r="53" spans="1:12" x14ac:dyDescent="0.2">
      <c r="A53" s="1" t="s">
        <v>98</v>
      </c>
      <c r="B53" s="9">
        <f>(B18/100)*Portfolio!$B16</f>
        <v>-113871.46125600001</v>
      </c>
      <c r="C53" s="9">
        <f>(C18/100)*Portfolio!$B16</f>
        <v>-78268.880340000003</v>
      </c>
      <c r="D53" s="9">
        <f>(D18/100)*Portfolio!$B16</f>
        <v>-76223.688055200008</v>
      </c>
      <c r="E53" s="9">
        <f>(E18/100)*Portfolio!$B16</f>
        <v>-57198.996590399998</v>
      </c>
      <c r="F53" s="9">
        <f>(F18/100)*Portfolio!$B16</f>
        <v>-81034.658560800002</v>
      </c>
      <c r="G53" s="9">
        <f>(G18/100)*Portfolio!$B16</f>
        <v>-59599.703015999999</v>
      </c>
      <c r="H53" s="9">
        <f>(H18/100)*Portfolio!$B16</f>
        <v>-74310.360767999999</v>
      </c>
      <c r="I53" s="9">
        <f>(I18/100)*Portfolio!$B16</f>
        <v>-55991.714335199998</v>
      </c>
      <c r="J53" s="9">
        <f>(J18/100)*Portfolio!$B16</f>
        <v>-52456.614638400009</v>
      </c>
      <c r="K53" s="9">
        <f>(K18/100)*Portfolio!$B16</f>
        <v>-54114.301886399997</v>
      </c>
      <c r="L53" s="9">
        <f>(L18/100)*Portfolio!$B16</f>
        <v>-45017.5861296</v>
      </c>
    </row>
    <row r="54" spans="1:12" x14ac:dyDescent="0.2">
      <c r="A54" s="1" t="s">
        <v>99</v>
      </c>
      <c r="B54" s="9">
        <f>(B19/100)*Portfolio!$B17</f>
        <v>-1215585.5887439998</v>
      </c>
      <c r="C54" s="9">
        <f>(C19/100)*Portfolio!$B17</f>
        <v>-1033219.1927376</v>
      </c>
      <c r="D54" s="9">
        <f>(D19/100)*Portfolio!$B17</f>
        <v>-1026922.3215551998</v>
      </c>
      <c r="E54" s="9">
        <f>(E19/100)*Portfolio!$B17</f>
        <v>-945513.79587359994</v>
      </c>
      <c r="F54" s="9">
        <f>(F19/100)*Portfolio!$B17</f>
        <v>-1065520.0589759999</v>
      </c>
      <c r="G54" s="9">
        <f>(G19/100)*Portfolio!$B17</f>
        <v>-955171.00825919991</v>
      </c>
      <c r="H54" s="9">
        <f>(H19/100)*Portfolio!$B17</f>
        <v>-1025280.6871247998</v>
      </c>
      <c r="I54" s="9">
        <f>(I19/100)*Portfolio!$B17</f>
        <v>-946265.68046879978</v>
      </c>
      <c r="J54" s="9">
        <f>(J19/100)*Portfolio!$B17</f>
        <v>-912428.70940799988</v>
      </c>
      <c r="K54" s="9">
        <f>(K19/100)*Portfolio!$B17</f>
        <v>-914672.0465711999</v>
      </c>
      <c r="L54" s="9">
        <f>(L19/100)*Portfolio!$B17</f>
        <v>-872174.59080479981</v>
      </c>
    </row>
    <row r="55" spans="1:12" x14ac:dyDescent="0.2">
      <c r="A55" s="1" t="s">
        <v>100</v>
      </c>
      <c r="B55" s="9">
        <f>(B20/100)*Portfolio!$B18</f>
        <v>-539957.73876550002</v>
      </c>
      <c r="C55" s="9">
        <f>(C20/100)*Portfolio!$B18</f>
        <v>-481972.92631519999</v>
      </c>
      <c r="D55" s="9">
        <f>(D20/100)*Portfolio!$B18</f>
        <v>-484235.76074280002</v>
      </c>
      <c r="E55" s="9">
        <f>(E20/100)*Portfolio!$B18</f>
        <v>-467093.07673879992</v>
      </c>
      <c r="F55" s="9">
        <f>(F20/100)*Portfolio!$B18</f>
        <v>-509196.13645840005</v>
      </c>
      <c r="G55" s="9">
        <f>(G20/100)*Portfolio!$B18</f>
        <v>-474052.96779110003</v>
      </c>
      <c r="H55" s="9">
        <f>(H20/100)*Portfolio!$B18</f>
        <v>-497779.90785429999</v>
      </c>
      <c r="I55" s="9">
        <f>(I20/100)*Portfolio!$B18</f>
        <v>-482370.99579489999</v>
      </c>
      <c r="J55" s="9">
        <f>(J20/100)*Portfolio!$B18</f>
        <v>-462804.12081370002</v>
      </c>
      <c r="K55" s="9">
        <f>(K20/100)*Portfolio!$B18</f>
        <v>-463635.88089289999</v>
      </c>
      <c r="L55" s="9">
        <f>(L20/100)*Portfolio!$B18</f>
        <v>-453703.47143159999</v>
      </c>
    </row>
    <row r="56" spans="1:12" x14ac:dyDescent="0.2">
      <c r="A56" s="1" t="s">
        <v>101</v>
      </c>
      <c r="B56" s="9">
        <f>(B21/100)*Portfolio!$B19</f>
        <v>20401.368759000001</v>
      </c>
      <c r="C56" s="9">
        <f>(C21/100)*Portfolio!$B19</f>
        <v>30580.553138700001</v>
      </c>
      <c r="D56" s="9">
        <f>(D21/100)*Portfolio!$B19</f>
        <v>31573.746576900001</v>
      </c>
      <c r="E56" s="9">
        <f>(E21/100)*Portfolio!$B19</f>
        <v>44555.186390999996</v>
      </c>
      <c r="F56" s="9">
        <f>(F21/100)*Portfolio!$B19</f>
        <v>23381.991256500001</v>
      </c>
      <c r="G56" s="9">
        <f>(G21/100)*Portfolio!$B19</f>
        <v>28641.105228100001</v>
      </c>
      <c r="H56" s="9">
        <f>(H21/100)*Portfolio!$B19</f>
        <v>15127.852341499998</v>
      </c>
      <c r="I56" s="9">
        <f>(I21/100)*Portfolio!$B19</f>
        <v>24495.468712399997</v>
      </c>
      <c r="J56" s="9">
        <f>(J21/100)*Portfolio!$B19</f>
        <v>25765.6013165</v>
      </c>
      <c r="K56" s="9">
        <f>(K21/100)*Portfolio!$B19</f>
        <v>23153.672646200001</v>
      </c>
      <c r="L56" s="9">
        <f>(L21/100)*Portfolio!$B19</f>
        <v>22735.5980237</v>
      </c>
    </row>
    <row r="57" spans="1:12" x14ac:dyDescent="0.2">
      <c r="A57" s="1" t="s">
        <v>102</v>
      </c>
      <c r="B57" s="9">
        <f>(B22/100)*Portfolio!$B20</f>
        <v>-1514807.9673407997</v>
      </c>
      <c r="C57" s="9">
        <f>(C22/100)*Portfolio!$B20</f>
        <v>-1285354.4798732002</v>
      </c>
      <c r="D57" s="9">
        <f>(D22/100)*Portfolio!$B20</f>
        <v>-1290559.7232077001</v>
      </c>
      <c r="E57" s="9">
        <f>(E22/100)*Portfolio!$B20</f>
        <v>-1211303.7988458001</v>
      </c>
      <c r="F57" s="9">
        <f>(F22/100)*Portfolio!$B20</f>
        <v>-1375378.5378278</v>
      </c>
      <c r="G57" s="9">
        <f>(G22/100)*Portfolio!$B20</f>
        <v>-1237989.8936427</v>
      </c>
      <c r="H57" s="9">
        <f>(H22/100)*Portfolio!$B20</f>
        <v>-1331083.0452029</v>
      </c>
      <c r="I57" s="9">
        <f>(I22/100)*Portfolio!$B20</f>
        <v>-1260246.0433750001</v>
      </c>
      <c r="J57" s="9">
        <f>(J22/100)*Portfolio!$B20</f>
        <v>-1196136.1178591</v>
      </c>
      <c r="K57" s="9">
        <f>(K22/100)*Portfolio!$B20</f>
        <v>-1198143.0479249</v>
      </c>
      <c r="L57" s="9">
        <f>(L22/100)*Portfolio!$B20</f>
        <v>-1156599.5384933001</v>
      </c>
    </row>
    <row r="58" spans="1:12" x14ac:dyDescent="0.2">
      <c r="A58" s="1" t="s">
        <v>103</v>
      </c>
      <c r="B58" s="9">
        <f>(B23/100)*Portfolio!$B21</f>
        <v>15873.811853999998</v>
      </c>
      <c r="C58" s="9">
        <f>(C23/100)*Portfolio!$B21</f>
        <v>8839.5389880000002</v>
      </c>
      <c r="D58" s="9">
        <f>(D23/100)*Portfolio!$B21</f>
        <v>6442.5962819999986</v>
      </c>
      <c r="E58" s="9">
        <f>(E23/100)*Portfolio!$B21</f>
        <v>-2155.9958939999997</v>
      </c>
      <c r="F58" s="9">
        <f>(F23/100)*Portfolio!$B21</f>
        <v>7517.0518559999991</v>
      </c>
      <c r="G58" s="9">
        <f>(G23/100)*Portfolio!$B21</f>
        <v>2794.8524059999995</v>
      </c>
      <c r="H58" s="9">
        <f>(H23/100)*Portfolio!$B21</f>
        <v>8989.7413399999987</v>
      </c>
      <c r="I58" s="9">
        <f>(I23/100)*Portfolio!$B21</f>
        <v>2220.5819599999995</v>
      </c>
      <c r="J58" s="9">
        <f>(J23/100)*Portfolio!$B21</f>
        <v>261.56757799999997</v>
      </c>
      <c r="K58" s="9">
        <f>(K23/100)*Portfolio!$B21</f>
        <v>738.15829799999983</v>
      </c>
      <c r="L58" s="9">
        <f>(L23/100)*Portfolio!$B21</f>
        <v>-665.72129999999993</v>
      </c>
    </row>
    <row r="59" spans="1:12" x14ac:dyDescent="0.2">
      <c r="A59" s="1" t="s">
        <v>104</v>
      </c>
      <c r="B59" s="9">
        <f>(B24/100)*Portfolio!$B22</f>
        <v>-520603.10639870004</v>
      </c>
      <c r="C59" s="9">
        <f>(C24/100)*Portfolio!$B22</f>
        <v>-737260.43405689998</v>
      </c>
      <c r="D59" s="9">
        <f>(D24/100)*Portfolio!$B22</f>
        <v>-739603.95147079998</v>
      </c>
      <c r="E59" s="9">
        <f>(E24/100)*Portfolio!$B22</f>
        <v>-848705.43151939986</v>
      </c>
      <c r="F59" s="9">
        <f>(F24/100)*Portfolio!$B22</f>
        <v>-687648.11719500006</v>
      </c>
      <c r="G59" s="9">
        <f>(G24/100)*Portfolio!$B22</f>
        <v>-813649.43543259986</v>
      </c>
      <c r="H59" s="9">
        <f>(H24/100)*Portfolio!$B22</f>
        <v>-711291.08905919991</v>
      </c>
      <c r="I59" s="9">
        <f>(I24/100)*Portfolio!$B22</f>
        <v>-815190.31661340001</v>
      </c>
      <c r="J59" s="9">
        <f>(J24/100)*Portfolio!$B22</f>
        <v>-831007.42221769993</v>
      </c>
      <c r="K59" s="9">
        <f>(K24/100)*Portfolio!$B22</f>
        <v>-812245.23559659999</v>
      </c>
      <c r="L59" s="9">
        <f>(L24/100)*Portfolio!$B22</f>
        <v>-859113.08231059997</v>
      </c>
    </row>
    <row r="60" spans="1:12" x14ac:dyDescent="0.2">
      <c r="A60" s="1" t="s">
        <v>105</v>
      </c>
      <c r="B60" s="9">
        <f>(B25/100)*Portfolio!$B23</f>
        <v>784917.38006400003</v>
      </c>
      <c r="C60" s="9">
        <f>(C25/100)*Portfolio!$B23</f>
        <v>679556.10673380003</v>
      </c>
      <c r="D60" s="9">
        <f>(D25/100)*Portfolio!$B23</f>
        <v>662812.82193179999</v>
      </c>
      <c r="E60" s="9">
        <f>(E25/100)*Portfolio!$B23</f>
        <v>585901.64425440005</v>
      </c>
      <c r="F60" s="9">
        <f>(F25/100)*Portfolio!$B23</f>
        <v>646190.76289559994</v>
      </c>
      <c r="G60" s="9">
        <f>(G25/100)*Portfolio!$B23</f>
        <v>581965.38698940002</v>
      </c>
      <c r="H60" s="9">
        <f>(H25/100)*Portfolio!$B23</f>
        <v>616973.67044999998</v>
      </c>
      <c r="I60" s="9">
        <f>(I25/100)*Portfolio!$B23</f>
        <v>548740.53481980006</v>
      </c>
      <c r="J60" s="9">
        <f>(J25/100)*Portfolio!$B23</f>
        <v>545850.69859440008</v>
      </c>
      <c r="K60" s="9">
        <f>(K25/100)*Portfolio!$B23</f>
        <v>544978.97785080003</v>
      </c>
      <c r="L60" s="9">
        <f>(L25/100)*Portfolio!$B23</f>
        <v>512255.12673119997</v>
      </c>
    </row>
    <row r="61" spans="1:12" x14ac:dyDescent="0.2">
      <c r="A61" s="1" t="s">
        <v>106</v>
      </c>
      <c r="B61" s="9">
        <f>(B26/100)*Portfolio!$B24</f>
        <v>-318637.07044319995</v>
      </c>
      <c r="C61" s="9">
        <f>(C26/100)*Portfolio!$B24</f>
        <v>-465980.53860800003</v>
      </c>
      <c r="D61" s="9">
        <f>(D26/100)*Portfolio!$B24</f>
        <v>-474045.9088256</v>
      </c>
      <c r="E61" s="9">
        <f>(E26/100)*Portfolio!$B24</f>
        <v>-567648.04318239994</v>
      </c>
      <c r="F61" s="9">
        <f>(F26/100)*Portfolio!$B24</f>
        <v>-459542.76267760003</v>
      </c>
      <c r="G61" s="9">
        <f>(G26/100)*Portfolio!$B24</f>
        <v>-543640.0258536</v>
      </c>
      <c r="H61" s="9">
        <f>(H26/100)*Portfolio!$B24</f>
        <v>-473494.32695279998</v>
      </c>
      <c r="I61" s="9">
        <f>(I26/100)*Portfolio!$B24</f>
        <v>-559195.37411520001</v>
      </c>
      <c r="J61" s="9">
        <f>(J26/100)*Portfolio!$B24</f>
        <v>-554962.94711439998</v>
      </c>
      <c r="K61" s="9">
        <f>(K26/100)*Portfolio!$B24</f>
        <v>-540424.75699679996</v>
      </c>
      <c r="L61" s="9">
        <f>(L26/100)*Portfolio!$B24</f>
        <v>-576448.94847600011</v>
      </c>
    </row>
    <row r="62" spans="1:12" x14ac:dyDescent="0.2">
      <c r="A62" s="1" t="s">
        <v>107</v>
      </c>
      <c r="B62" s="9">
        <f>(B27/100)*Portfolio!$B25</f>
        <v>68342.943616199991</v>
      </c>
      <c r="C62" s="9">
        <f>(C27/100)*Portfolio!$B25</f>
        <v>-146605.23986909998</v>
      </c>
      <c r="D62" s="9">
        <f>(D27/100)*Portfolio!$B25</f>
        <v>-149867.70612269998</v>
      </c>
      <c r="E62" s="9">
        <f>(E27/100)*Portfolio!$B25</f>
        <v>-249231.83804009997</v>
      </c>
      <c r="F62" s="9">
        <f>(F27/100)*Portfolio!$B25</f>
        <v>-95932.852944599988</v>
      </c>
      <c r="G62" s="9">
        <f>(G27/100)*Portfolio!$B25</f>
        <v>-221975.22702869997</v>
      </c>
      <c r="H62" s="9">
        <f>(H27/100)*Portfolio!$B25</f>
        <v>-126305.19963899997</v>
      </c>
      <c r="I62" s="9">
        <f>(I27/100)*Portfolio!$B25</f>
        <v>-224776.72822199998</v>
      </c>
      <c r="J62" s="9">
        <f>(J27/100)*Portfolio!$B25</f>
        <v>-250508.29969739998</v>
      </c>
      <c r="K62" s="9">
        <f>(K27/100)*Portfolio!$B25</f>
        <v>-236888.19106259994</v>
      </c>
      <c r="L62" s="9">
        <f>(L27/100)*Portfolio!$B25</f>
        <v>-285271.11255029996</v>
      </c>
    </row>
    <row r="63" spans="1:12" x14ac:dyDescent="0.2">
      <c r="A63" s="1" t="s">
        <v>108</v>
      </c>
      <c r="B63" s="9">
        <f>(B28/100)*Portfolio!$B26</f>
        <v>20390.308425300002</v>
      </c>
      <c r="C63" s="9">
        <f>(C28/100)*Portfolio!$B26</f>
        <v>16019.9758807</v>
      </c>
      <c r="D63" s="9">
        <f>(D28/100)*Portfolio!$B26</f>
        <v>14628.967300199998</v>
      </c>
      <c r="E63" s="9">
        <f>(E28/100)*Portfolio!$B26</f>
        <v>9949.9939978999992</v>
      </c>
      <c r="F63" s="9">
        <f>(F28/100)*Portfolio!$B26</f>
        <v>13131.6488952</v>
      </c>
      <c r="G63" s="9">
        <f>(G28/100)*Portfolio!$B26</f>
        <v>10476.866405499999</v>
      </c>
      <c r="H63" s="9">
        <f>(H28/100)*Portfolio!$B26</f>
        <v>12532.0738741</v>
      </c>
      <c r="I63" s="9">
        <f>(I28/100)*Portfolio!$B26</f>
        <v>8911.4717967000015</v>
      </c>
      <c r="J63" s="9">
        <f>(J28/100)*Portfolio!$B26</f>
        <v>9064.2954534</v>
      </c>
      <c r="K63" s="9">
        <f>(K28/100)*Portfolio!$B26</f>
        <v>8999.3532716999998</v>
      </c>
      <c r="L63" s="9">
        <f>(L28/100)*Portfolio!$B26</f>
        <v>7694.2276334000007</v>
      </c>
    </row>
    <row r="64" spans="1:12" x14ac:dyDescent="0.2">
      <c r="A64" s="1" t="s">
        <v>109</v>
      </c>
      <c r="B64" s="9">
        <f>(B29/100)*Portfolio!$B27</f>
        <v>1146410.2399035001</v>
      </c>
      <c r="C64" s="9">
        <f>(C29/100)*Portfolio!$B27</f>
        <v>965108.86836000008</v>
      </c>
      <c r="D64" s="9">
        <f>(D29/100)*Portfolio!$B27</f>
        <v>941295.79681149998</v>
      </c>
      <c r="E64" s="9">
        <f>(E29/100)*Portfolio!$B27</f>
        <v>817466.72356699989</v>
      </c>
      <c r="F64" s="9">
        <f>(F29/100)*Portfolio!$B27</f>
        <v>926689.65552150004</v>
      </c>
      <c r="G64" s="9">
        <f>(G29/100)*Portfolio!$B27</f>
        <v>816253.704058</v>
      </c>
      <c r="H64" s="9">
        <f>(H29/100)*Portfolio!$B27</f>
        <v>880818.52763449994</v>
      </c>
      <c r="I64" s="9">
        <f>(I29/100)*Portfolio!$B27</f>
        <v>769153.21598700015</v>
      </c>
      <c r="J64" s="9">
        <f>(J29/100)*Portfolio!$B27</f>
        <v>761268.45560350001</v>
      </c>
      <c r="K64" s="9">
        <f>(K29/100)*Portfolio!$B27</f>
        <v>763288.05706399994</v>
      </c>
      <c r="L64" s="9">
        <f>(L29/100)*Portfolio!$B27</f>
        <v>709631.61805250007</v>
      </c>
    </row>
    <row r="65" spans="1:12" x14ac:dyDescent="0.2">
      <c r="A65" s="1" t="s">
        <v>110</v>
      </c>
      <c r="B65" s="9">
        <f>(B30/100)*Portfolio!$B28</f>
        <v>45466.318378499993</v>
      </c>
      <c r="C65" s="9">
        <f>(C30/100)*Portfolio!$B28</f>
        <v>-13088.777130499999</v>
      </c>
      <c r="D65" s="9">
        <f>(D30/100)*Portfolio!$B28</f>
        <v>-19843.951168999996</v>
      </c>
      <c r="E65" s="9">
        <f>(E30/100)*Portfolio!$B28</f>
        <v>-68305.871671999979</v>
      </c>
      <c r="F65" s="9">
        <f>(F30/100)*Portfolio!$B28</f>
        <v>-27433.657014499993</v>
      </c>
      <c r="G65" s="9">
        <f>(G30/100)*Portfolio!$B28</f>
        <v>-59317.952987499986</v>
      </c>
      <c r="H65" s="9">
        <f>(H30/100)*Portfolio!$B28</f>
        <v>-34063.556603499994</v>
      </c>
      <c r="I65" s="9">
        <f>(I30/100)*Portfolio!$B28</f>
        <v>-74207.483094999989</v>
      </c>
      <c r="J65" s="9">
        <f>(J30/100)*Portfolio!$B28</f>
        <v>-66634.485948000001</v>
      </c>
      <c r="K65" s="9">
        <f>(K30/100)*Portfolio!$B28</f>
        <v>-64035.378351499989</v>
      </c>
      <c r="L65" s="9">
        <f>(L30/100)*Portfolio!$B28</f>
        <v>-78727.421465999985</v>
      </c>
    </row>
    <row r="66" spans="1:12" x14ac:dyDescent="0.2">
      <c r="A66" s="1" t="s">
        <v>111</v>
      </c>
      <c r="B66" s="9">
        <f>(B31/100)*Portfolio!$B29</f>
        <v>747083.16755839996</v>
      </c>
      <c r="C66" s="9">
        <f>(C31/100)*Portfolio!$B29</f>
        <v>665734.23447840009</v>
      </c>
      <c r="D66" s="9">
        <f>(D31/100)*Portfolio!$B29</f>
        <v>643468.615016</v>
      </c>
      <c r="E66" s="9">
        <f>(E31/100)*Portfolio!$B29</f>
        <v>570314.97388800001</v>
      </c>
      <c r="F66" s="9">
        <f>(F31/100)*Portfolio!$B29</f>
        <v>611863.63589280006</v>
      </c>
      <c r="G66" s="9">
        <f>(G31/100)*Portfolio!$B29</f>
        <v>561850.3668512</v>
      </c>
      <c r="H66" s="9">
        <f>(H31/100)*Portfolio!$B29</f>
        <v>585856.67439679999</v>
      </c>
      <c r="I66" s="9">
        <f>(I31/100)*Portfolio!$B29</f>
        <v>524813.55418079998</v>
      </c>
      <c r="J66" s="9">
        <f>(J31/100)*Portfolio!$B29</f>
        <v>524446.77503679995</v>
      </c>
      <c r="K66" s="9">
        <f>(K31/100)*Portfolio!$B29</f>
        <v>519341.15173440002</v>
      </c>
      <c r="L66" s="9">
        <f>(L31/100)*Portfolio!$B29</f>
        <v>491464.77073759999</v>
      </c>
    </row>
    <row r="67" spans="1:12" x14ac:dyDescent="0.2">
      <c r="A67" s="1" t="s">
        <v>112</v>
      </c>
      <c r="B67" s="9">
        <f>(B32/100)*Portfolio!$B30</f>
        <v>635326.155654</v>
      </c>
      <c r="C67" s="9">
        <f>(C32/100)*Portfolio!$B30</f>
        <v>538515.97111280006</v>
      </c>
      <c r="D67" s="9">
        <f>(D32/100)*Portfolio!$B30</f>
        <v>534028.33823230001</v>
      </c>
      <c r="E67" s="9">
        <f>(E32/100)*Portfolio!$B30</f>
        <v>488839.92986259994</v>
      </c>
      <c r="F67" s="9">
        <f>(F32/100)*Portfolio!$B30</f>
        <v>550988.62737719994</v>
      </c>
      <c r="G67" s="9">
        <f>(G32/100)*Portfolio!$B30</f>
        <v>492896.91647970001</v>
      </c>
      <c r="H67" s="9">
        <f>(H32/100)*Portfolio!$B30</f>
        <v>529782.04561979999</v>
      </c>
      <c r="I67" s="9">
        <f>(I32/100)*Portfolio!$B30</f>
        <v>484462.53703589999</v>
      </c>
      <c r="J67" s="9">
        <f>(J32/100)*Portfolio!$B30</f>
        <v>468746.7251632</v>
      </c>
      <c r="K67" s="9">
        <f>(K32/100)*Portfolio!$B30</f>
        <v>470296.33378340001</v>
      </c>
      <c r="L67" s="9">
        <f>(L32/100)*Portfolio!$B30</f>
        <v>446028.36281650001</v>
      </c>
    </row>
    <row r="68" spans="1:12" x14ac:dyDescent="0.2">
      <c r="A68" s="1" t="s">
        <v>113</v>
      </c>
      <c r="B68" s="9">
        <f>(B33/100)*Portfolio!$B31</f>
        <v>9857.1262748999998</v>
      </c>
      <c r="C68" s="9">
        <f>(C33/100)*Portfolio!$B31</f>
        <v>8196.6760257000005</v>
      </c>
      <c r="D68" s="9">
        <f>(D33/100)*Portfolio!$B31</f>
        <v>7365.1775945999998</v>
      </c>
      <c r="E68" s="9">
        <f>(E33/100)*Portfolio!$B31</f>
        <v>5635.3927512</v>
      </c>
      <c r="F68" s="9">
        <f>(F33/100)*Portfolio!$B31</f>
        <v>7065.6484527000002</v>
      </c>
      <c r="G68" s="9">
        <f>(G33/100)*Portfolio!$B31</f>
        <v>5668.3461215999996</v>
      </c>
      <c r="H68" s="9">
        <f>(H33/100)*Portfolio!$B31</f>
        <v>5571.6363735000004</v>
      </c>
      <c r="I68" s="9">
        <f>(I33/100)*Portfolio!$B31</f>
        <v>4005.9782607000002</v>
      </c>
      <c r="J68" s="9">
        <f>(J33/100)*Portfolio!$B31</f>
        <v>2633.2168893000003</v>
      </c>
      <c r="K68" s="9">
        <f>(K33/100)*Portfolio!$B31</f>
        <v>1794.1272833999999</v>
      </c>
      <c r="L68" s="9">
        <f>(L33/100)*Portfolio!$B31</f>
        <v>1157.6304855000001</v>
      </c>
    </row>
    <row r="69" spans="1:12" ht="16" thickBot="1" x14ac:dyDescent="0.25">
      <c r="A69" s="19" t="s">
        <v>114</v>
      </c>
      <c r="B69" s="19">
        <f>(B34/100)*Portfolio!$B32</f>
        <v>2238.423824</v>
      </c>
      <c r="C69" s="19">
        <f>(C34/100)*Portfolio!$B32</f>
        <v>203662.76279439998</v>
      </c>
      <c r="D69" s="19">
        <f>(D34/100)*Portfolio!$B32</f>
        <v>206315.68444760001</v>
      </c>
      <c r="E69" s="19">
        <f>(E34/100)*Portfolio!$B32</f>
        <v>300829.39663139998</v>
      </c>
      <c r="F69" s="19">
        <f>(F34/100)*Portfolio!$B32</f>
        <v>156394.30896180001</v>
      </c>
      <c r="G69" s="19">
        <f>(G34/100)*Portfolio!$B32</f>
        <v>273711.06386260001</v>
      </c>
      <c r="H69" s="19">
        <f>(H34/100)*Portfolio!$B32</f>
        <v>184672.99648979999</v>
      </c>
      <c r="I69" s="19">
        <f>(I34/100)*Portfolio!$B32</f>
        <v>267744.22955280001</v>
      </c>
      <c r="J69" s="19">
        <f>(J34/100)*Portfolio!$B32</f>
        <v>283629.01157500001</v>
      </c>
      <c r="K69" s="19">
        <f>(K34/100)*Portfolio!$B32</f>
        <v>272404.55777080002</v>
      </c>
      <c r="L69" s="19">
        <f>(L34/100)*Portfolio!$B32</f>
        <v>313504.84640020004</v>
      </c>
    </row>
    <row r="70" spans="1:12" ht="16" thickBot="1" x14ac:dyDescent="0.25">
      <c r="A70" s="18" t="s">
        <v>155</v>
      </c>
      <c r="B70" s="18">
        <f>SUM(B40:B69)</f>
        <v>-2089856.9128782975</v>
      </c>
      <c r="C70" s="18">
        <f t="shared" ref="C70:L70" si="1">SUM(C40:C69)</f>
        <v>-1687202.1988288993</v>
      </c>
      <c r="D70" s="18">
        <f t="shared" si="1"/>
        <v>-1783305.0805688002</v>
      </c>
      <c r="E70" s="18">
        <f t="shared" si="1"/>
        <v>-1840437.4273503996</v>
      </c>
      <c r="F70" s="18">
        <f t="shared" si="1"/>
        <v>-2177936.3599381996</v>
      </c>
      <c r="G70" s="18">
        <f t="shared" si="1"/>
        <v>-1927525.7662691004</v>
      </c>
      <c r="H70" s="18">
        <f t="shared" si="1"/>
        <v>-2101351.0021334998</v>
      </c>
      <c r="I70" s="18">
        <f t="shared" si="1"/>
        <v>-2143127.7606938994</v>
      </c>
      <c r="J70" s="18">
        <f t="shared" si="1"/>
        <v>-1906881.3467700006</v>
      </c>
      <c r="K70" s="18">
        <f t="shared" si="1"/>
        <v>-1912780.7743467994</v>
      </c>
      <c r="L70" s="18">
        <f t="shared" si="1"/>
        <v>-1899908.059146299</v>
      </c>
    </row>
  </sheetData>
  <mergeCells count="1">
    <mergeCell ref="A38:L3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A190CE-6314-4A65-AA99-CDB07650246B}">
  <dimension ref="A1:L19"/>
  <sheetViews>
    <sheetView zoomScale="80" zoomScaleNormal="80" workbookViewId="0">
      <selection activeCell="B42" sqref="B42"/>
    </sheetView>
  </sheetViews>
  <sheetFormatPr baseColWidth="10" defaultColWidth="19" defaultRowHeight="15" x14ac:dyDescent="0.2"/>
  <cols>
    <col min="1" max="2" width="26.5" customWidth="1"/>
    <col min="3" max="3" width="19.1640625" bestFit="1" customWidth="1"/>
    <col min="4" max="4" width="21.6640625" bestFit="1" customWidth="1"/>
    <col min="5" max="5" width="22.6640625" bestFit="1" customWidth="1"/>
    <col min="6" max="6" width="23.6640625" bestFit="1" customWidth="1"/>
    <col min="7" max="7" width="21.6640625" bestFit="1" customWidth="1"/>
    <col min="8" max="8" width="22.6640625" bestFit="1" customWidth="1"/>
    <col min="9" max="9" width="21.6640625" bestFit="1" customWidth="1"/>
    <col min="10" max="13" width="22.6640625" bestFit="1" customWidth="1"/>
  </cols>
  <sheetData>
    <row r="1" spans="1:12" x14ac:dyDescent="0.2">
      <c r="A1" t="s">
        <v>121</v>
      </c>
    </row>
    <row r="2" spans="1:12" x14ac:dyDescent="0.2">
      <c r="A2" t="s">
        <v>122</v>
      </c>
    </row>
    <row r="3" spans="1:12" x14ac:dyDescent="0.2">
      <c r="A3" s="22" t="s">
        <v>116</v>
      </c>
      <c r="B3" s="17">
        <v>45688</v>
      </c>
      <c r="C3" s="17">
        <v>45716</v>
      </c>
      <c r="D3" s="17">
        <v>45747</v>
      </c>
      <c r="E3" s="17">
        <v>45777</v>
      </c>
      <c r="F3" s="17">
        <v>45807</v>
      </c>
      <c r="G3" s="17">
        <v>45838</v>
      </c>
      <c r="H3" s="17">
        <v>45869</v>
      </c>
      <c r="I3" s="17">
        <v>45898</v>
      </c>
      <c r="J3" s="17">
        <v>45930</v>
      </c>
      <c r="K3" s="17">
        <v>45961</v>
      </c>
      <c r="L3" s="17">
        <v>45989</v>
      </c>
    </row>
    <row r="4" spans="1:12" x14ac:dyDescent="0.2">
      <c r="A4" s="1" t="s">
        <v>151</v>
      </c>
      <c r="B4" s="1">
        <f>'Part 1 - Portfolio'!B70</f>
        <v>-2089856.9128782975</v>
      </c>
      <c r="C4" s="1">
        <f>'Part 1 - Portfolio'!C70</f>
        <v>-1687202.1988288993</v>
      </c>
      <c r="D4" s="1">
        <f>'Part 1 - Portfolio'!D70</f>
        <v>-1783305.0805688002</v>
      </c>
      <c r="E4" s="1">
        <f>'Part 1 - Portfolio'!E70</f>
        <v>-1840437.4273503996</v>
      </c>
      <c r="F4" s="1">
        <f>'Part 1 - Portfolio'!F70</f>
        <v>-2177936.3599381996</v>
      </c>
      <c r="G4" s="1">
        <f>'Part 1 - Portfolio'!G70</f>
        <v>-1927525.7662691004</v>
      </c>
      <c r="H4" s="1">
        <f>'Part 1 - Portfolio'!H70</f>
        <v>-2101351.0021334998</v>
      </c>
      <c r="I4" s="1">
        <f>'Part 1 - Portfolio'!I70</f>
        <v>-2143127.7606938994</v>
      </c>
      <c r="J4" s="1">
        <f>'Part 1 - Portfolio'!J70</f>
        <v>-1906881.3467700006</v>
      </c>
      <c r="K4" s="1">
        <f>'Part 1 - Portfolio'!K70</f>
        <v>-1912780.7743467994</v>
      </c>
      <c r="L4" s="1">
        <f>'Part 1 - Portfolio'!L70</f>
        <v>-1899908.059146299</v>
      </c>
    </row>
    <row r="5" spans="1:12" x14ac:dyDescent="0.2">
      <c r="A5" s="1" t="s">
        <v>152</v>
      </c>
      <c r="B5" s="9">
        <f>-B4</f>
        <v>2089856.9128782975</v>
      </c>
      <c r="C5" s="9">
        <f t="shared" ref="C5:L5" si="0">-C4</f>
        <v>1687202.1988288993</v>
      </c>
      <c r="D5" s="9">
        <f t="shared" si="0"/>
        <v>1783305.0805688002</v>
      </c>
      <c r="E5" s="9">
        <f t="shared" si="0"/>
        <v>1840437.4273503996</v>
      </c>
      <c r="F5" s="9">
        <f t="shared" si="0"/>
        <v>2177936.3599381996</v>
      </c>
      <c r="G5" s="9">
        <f t="shared" si="0"/>
        <v>1927525.7662691004</v>
      </c>
      <c r="H5" s="9">
        <f t="shared" si="0"/>
        <v>2101351.0021334998</v>
      </c>
      <c r="I5" s="9">
        <f t="shared" si="0"/>
        <v>2143127.7606938994</v>
      </c>
      <c r="J5" s="9">
        <f t="shared" si="0"/>
        <v>1906881.3467700006</v>
      </c>
      <c r="K5" s="9">
        <f t="shared" si="0"/>
        <v>1912780.7743467994</v>
      </c>
      <c r="L5" s="9">
        <f t="shared" si="0"/>
        <v>1899908.059146299</v>
      </c>
    </row>
    <row r="6" spans="1:12" x14ac:dyDescent="0.2">
      <c r="A6" s="3"/>
      <c r="B6" s="3"/>
    </row>
    <row r="8" spans="1:12" x14ac:dyDescent="0.2">
      <c r="A8" s="15" t="s">
        <v>135</v>
      </c>
      <c r="B8" s="15" t="s">
        <v>123</v>
      </c>
      <c r="C8" s="15" t="s">
        <v>13</v>
      </c>
      <c r="D8" s="15" t="s">
        <v>12</v>
      </c>
      <c r="E8" s="15" t="s">
        <v>11</v>
      </c>
      <c r="F8" s="15" t="s">
        <v>21</v>
      </c>
      <c r="G8" s="15" t="s">
        <v>136</v>
      </c>
      <c r="H8" s="15" t="s">
        <v>17</v>
      </c>
      <c r="I8" s="15" t="s">
        <v>14</v>
      </c>
      <c r="J8" s="15" t="s">
        <v>137</v>
      </c>
      <c r="K8" s="15" t="s">
        <v>138</v>
      </c>
    </row>
    <row r="9" spans="1:12" x14ac:dyDescent="0.2">
      <c r="A9" s="5">
        <v>45688</v>
      </c>
      <c r="B9" s="21" cm="1">
        <f t="array" ref="B9">[1]!YBSOLVER(D9,B5,G9,0.01,"5%","")</f>
        <v>-97.532708251819997</v>
      </c>
      <c r="C9" s="1" t="str" cm="1">
        <f t="array" ref="C9">[1]!YBPORT(E9,$E$8:$K$8,E9:K9)</f>
        <v>YBP_BOND1_5</v>
      </c>
      <c r="D9" s="9" cm="1">
        <f t="array" ref="D9">[1]!YBPRICE(C9,"0o",A9,"Price","Swap",A9,"Default","","",,"")/100*1000000000</f>
        <v>2089856.9000000001</v>
      </c>
      <c r="E9" s="1" t="s">
        <v>139</v>
      </c>
      <c r="F9" s="1" t="s">
        <v>140</v>
      </c>
      <c r="G9" s="9">
        <v>-97.532708251819997</v>
      </c>
      <c r="H9" s="1">
        <v>12</v>
      </c>
      <c r="I9" s="5">
        <v>46053</v>
      </c>
      <c r="J9" s="5">
        <v>45688</v>
      </c>
      <c r="K9" s="5">
        <f>J9+31</f>
        <v>45719</v>
      </c>
    </row>
    <row r="10" spans="1:12" x14ac:dyDescent="0.2">
      <c r="A10" s="5">
        <v>45716</v>
      </c>
      <c r="B10" s="21" cm="1">
        <f t="array" ref="B10">[1]!YBSOLVER(D10,C5,G10,0.01,"5%","")</f>
        <v>-97.978015952374804</v>
      </c>
      <c r="C10" s="1" t="str" cm="1">
        <f t="array" ref="C10">[1]!YBPORT(E10,$E$8:$K$8,E10:K10)</f>
        <v>YBP_BOND2_6</v>
      </c>
      <c r="D10" s="9" cm="1">
        <f t="array" ref="D10">[1]!YBPRICE(C10,"0o",A10,"Price","Swap",A10,"Default","","",,"")/100*1000000000</f>
        <v>1687202.2000000002</v>
      </c>
      <c r="E10" s="1" t="s">
        <v>141</v>
      </c>
      <c r="F10" s="1" t="s">
        <v>140</v>
      </c>
      <c r="G10" s="9">
        <v>-97.978015952374804</v>
      </c>
      <c r="H10" s="1">
        <v>12</v>
      </c>
      <c r="I10" s="6">
        <v>46081</v>
      </c>
      <c r="J10" s="6">
        <v>45716</v>
      </c>
      <c r="K10" s="5">
        <f t="shared" ref="K10:K17" si="1">J10+31</f>
        <v>45747</v>
      </c>
    </row>
    <row r="11" spans="1:12" x14ac:dyDescent="0.2">
      <c r="A11" s="5">
        <v>45747</v>
      </c>
      <c r="B11" s="21" cm="1">
        <f t="array" ref="B11">[1]!YBSOLVER(D11,D5,G11,0.01,"5%","")</f>
        <v>-97.964138233167901</v>
      </c>
      <c r="C11" s="1" t="str" cm="1">
        <f t="array" ref="C11">[1]!YBPORT(E11,$E$8:$K$8,E11:K11)</f>
        <v>YBP_BOND3_5</v>
      </c>
      <c r="D11" s="9" cm="1">
        <f t="array" ref="D11">[1]!YBPRICE(C11,"0o",A11,"Price","Swap",A11,"Default","","",,"")/100*1000000000</f>
        <v>1783305.1</v>
      </c>
      <c r="E11" s="1" t="s">
        <v>142</v>
      </c>
      <c r="F11" s="1" t="s">
        <v>140</v>
      </c>
      <c r="G11" s="9">
        <v>-97.964138233167901</v>
      </c>
      <c r="H11" s="1">
        <v>12</v>
      </c>
      <c r="I11" s="6">
        <v>46112</v>
      </c>
      <c r="J11" s="6">
        <v>45747</v>
      </c>
      <c r="K11" s="5">
        <f>J11+30</f>
        <v>45777</v>
      </c>
    </row>
    <row r="12" spans="1:12" x14ac:dyDescent="0.2">
      <c r="A12" s="5">
        <v>45777</v>
      </c>
      <c r="B12" s="21" cm="1">
        <f t="array" ref="B12">[1]!YBSOLVER(D12,E5,G12,0.01,"5%","")</f>
        <v>-98.120625931798799</v>
      </c>
      <c r="C12" s="1" t="str" cm="1">
        <f t="array" ref="C12">[1]!YBPORT(E12,$E$8:$K$8,E12:K12)</f>
        <v>YBP_BOND4_5</v>
      </c>
      <c r="D12" s="9" cm="1">
        <f t="array" ref="D12">[1]!YBPRICE(C12,"0o",A12,"Price","Swap",A12,"Default","","",,"")/100*1000000000</f>
        <v>1840437.4000000001</v>
      </c>
      <c r="E12" s="1" t="s">
        <v>143</v>
      </c>
      <c r="F12" s="1" t="s">
        <v>140</v>
      </c>
      <c r="G12" s="9">
        <v>-98.120625931798799</v>
      </c>
      <c r="H12" s="1">
        <v>12</v>
      </c>
      <c r="I12" s="6">
        <v>46142</v>
      </c>
      <c r="J12" s="6">
        <v>45777</v>
      </c>
      <c r="K12" s="5">
        <f>J12+30</f>
        <v>45807</v>
      </c>
    </row>
    <row r="13" spans="1:12" x14ac:dyDescent="0.2">
      <c r="A13" s="5">
        <v>45807</v>
      </c>
      <c r="B13" s="21" cm="1">
        <f t="array" ref="B13">[1]!YBSOLVER(D13,F5,G13,0.01,"5%","")</f>
        <v>-97.906790081569895</v>
      </c>
      <c r="C13" s="1" t="str" cm="1">
        <f t="array" ref="C13">[1]!YBPORT(E13,$E$8:$K$8,E13:K13)</f>
        <v>YBP_BOND5_5</v>
      </c>
      <c r="D13" s="9" cm="1">
        <f t="array" ref="D13">[1]!YBPRICE(C13,"0o",A13,"Price","Swap",A13,"Default","","",,"")/100*1000000000</f>
        <v>2177936.2999999998</v>
      </c>
      <c r="E13" s="1" t="s">
        <v>144</v>
      </c>
      <c r="F13" s="1" t="s">
        <v>140</v>
      </c>
      <c r="G13" s="9">
        <v>-97.906790081569895</v>
      </c>
      <c r="H13" s="1">
        <v>12</v>
      </c>
      <c r="I13" s="6">
        <v>46172</v>
      </c>
      <c r="J13" s="6">
        <v>45807</v>
      </c>
      <c r="K13" s="5">
        <f t="shared" si="1"/>
        <v>45838</v>
      </c>
    </row>
    <row r="14" spans="1:12" x14ac:dyDescent="0.2">
      <c r="A14" s="5">
        <v>45838</v>
      </c>
      <c r="B14" s="21" cm="1">
        <f t="array" ref="B14">[1]!YBSOLVER(D14,G5,G14,0.01,"5%","")</f>
        <v>-98.038066952856298</v>
      </c>
      <c r="C14" s="1" t="str" cm="1">
        <f t="array" ref="C14">[1]!YBPORT(E14,$E$8:$K$8,E14:K14)</f>
        <v>YBP_BOND6_5</v>
      </c>
      <c r="D14" s="9" cm="1">
        <f t="array" ref="D14">[1]!YBPRICE(C14,"0o",A14,"Price","Swap",A14,"Default","","",,"")/100*1000000000</f>
        <v>1927525.8</v>
      </c>
      <c r="E14" s="1" t="s">
        <v>145</v>
      </c>
      <c r="F14" s="1" t="s">
        <v>140</v>
      </c>
      <c r="G14" s="9">
        <v>-98.038066952856298</v>
      </c>
      <c r="H14" s="1">
        <v>12</v>
      </c>
      <c r="I14" s="6">
        <v>46203</v>
      </c>
      <c r="J14" s="6">
        <v>45838</v>
      </c>
      <c r="K14" s="5">
        <f t="shared" si="1"/>
        <v>45869</v>
      </c>
    </row>
    <row r="15" spans="1:12" x14ac:dyDescent="0.2">
      <c r="A15" s="5">
        <v>45869</v>
      </c>
      <c r="B15" s="21" cm="1">
        <f t="array" ref="B15">[1]!YBSOLVER(D15,H5,G15,0.01,"5%","")</f>
        <v>-97.623085152018703</v>
      </c>
      <c r="C15" s="1" t="str" cm="1">
        <f t="array" ref="C15">[1]!YBPORT(E15,$E$8:$K$8,E15:K15)</f>
        <v>YBP_BOND7_5</v>
      </c>
      <c r="D15" s="9" cm="1">
        <f t="array" ref="D15">[1]!YBPRICE(C15,"0o",A15,"Price","Swap",A15,"Default","","",,"")/100*1000000000</f>
        <v>2101351</v>
      </c>
      <c r="E15" s="1" t="s">
        <v>146</v>
      </c>
      <c r="F15" s="1" t="s">
        <v>140</v>
      </c>
      <c r="G15" s="9">
        <v>-97.623085152018703</v>
      </c>
      <c r="H15" s="1">
        <v>12</v>
      </c>
      <c r="I15" s="6">
        <v>46234</v>
      </c>
      <c r="J15" s="6">
        <v>45869</v>
      </c>
      <c r="K15" s="5">
        <f>J15+29</f>
        <v>45898</v>
      </c>
    </row>
    <row r="16" spans="1:12" x14ac:dyDescent="0.2">
      <c r="A16" s="5">
        <v>45898</v>
      </c>
      <c r="B16" s="21" cm="1">
        <f t="array" ref="B16">[1]!YBSOLVER(D16,I5,G16,0.01,"5%","")</f>
        <v>-97.768062753146495</v>
      </c>
      <c r="C16" s="1" t="str" cm="1">
        <f t="array" ref="C16">[1]!YBPORT(E16,$E$8:$K$8,E16:K16)</f>
        <v>YBP_BOND8_5</v>
      </c>
      <c r="D16" s="9" cm="1">
        <f t="array" ref="D16">[1]!YBPRICE(C16,"0o",A16,"Price","Swap",A16,"Default","","",,"")/100*1000000000</f>
        <v>2143127.8000000003</v>
      </c>
      <c r="E16" s="1" t="s">
        <v>147</v>
      </c>
      <c r="F16" s="1" t="s">
        <v>140</v>
      </c>
      <c r="G16" s="9">
        <v>-97.768062753146495</v>
      </c>
      <c r="H16" s="1">
        <v>12</v>
      </c>
      <c r="I16" s="6">
        <v>46263</v>
      </c>
      <c r="J16" s="6">
        <v>45898</v>
      </c>
      <c r="K16" s="5">
        <f>J16+32</f>
        <v>45930</v>
      </c>
    </row>
    <row r="17" spans="1:11" x14ac:dyDescent="0.2">
      <c r="A17" s="5">
        <v>45930</v>
      </c>
      <c r="B17" s="21" cm="1">
        <f t="array" ref="B17">[1]!YBSOLVER(D17,J5,G17,0.01,"5%","")</f>
        <v>-98.104298462944698</v>
      </c>
      <c r="C17" s="1" t="str" cm="1">
        <f t="array" ref="C17">[1]!YBPORT(E17,$E$8:$K$8,E17:K17)</f>
        <v>YBP_BOND9_5</v>
      </c>
      <c r="D17" s="9" cm="1">
        <f t="array" ref="D17">[1]!YBPRICE(C17,"0o",A17,"Price","Swap",A17,"Default","","",,"")/100*1000000000</f>
        <v>1906881.3</v>
      </c>
      <c r="E17" s="1" t="s">
        <v>148</v>
      </c>
      <c r="F17" s="1" t="s">
        <v>140</v>
      </c>
      <c r="G17" s="9">
        <v>-98.104298462944698</v>
      </c>
      <c r="H17" s="1">
        <v>12</v>
      </c>
      <c r="I17" s="6">
        <v>46295</v>
      </c>
      <c r="J17" s="6">
        <v>45930</v>
      </c>
      <c r="K17" s="5">
        <f t="shared" si="1"/>
        <v>45961</v>
      </c>
    </row>
    <row r="18" spans="1:11" x14ac:dyDescent="0.2">
      <c r="A18" s="5">
        <v>45961</v>
      </c>
      <c r="B18" s="21" cm="1">
        <f t="array" ref="B18">[1]!YBSOLVER(D18,K5,G18,0.01,"5%","")</f>
        <v>-98.099210051620005</v>
      </c>
      <c r="C18" s="1" t="str" cm="1">
        <f t="array" ref="C18">[1]!YBPORT(E18,$E$8:$K$8,E18:K18)</f>
        <v>YBP_BOND10_5</v>
      </c>
      <c r="D18" s="9" cm="1">
        <f t="array" ref="D18">[1]!YBPRICE(C18,"0o",A18,"Price","Swap",A18,"Default","","",,"")/100*1000000000</f>
        <v>1912780.7999999998</v>
      </c>
      <c r="E18" s="1" t="s">
        <v>149</v>
      </c>
      <c r="F18" s="1" t="s">
        <v>140</v>
      </c>
      <c r="G18" s="9">
        <v>-98.099210051620005</v>
      </c>
      <c r="H18" s="1">
        <v>12</v>
      </c>
      <c r="I18" s="6">
        <v>46326</v>
      </c>
      <c r="J18" s="6">
        <v>45961</v>
      </c>
      <c r="K18" s="5">
        <f>J18+30</f>
        <v>45991</v>
      </c>
    </row>
    <row r="19" spans="1:11" x14ac:dyDescent="0.2">
      <c r="A19" s="5">
        <v>45989</v>
      </c>
      <c r="B19" s="21" cm="1">
        <f t="array" ref="B19">[1]!YBSOLVER(D19,L5,G19,0.01,"5%","")</f>
        <v>-98.153389301286694</v>
      </c>
      <c r="C19" s="1" t="str" cm="1">
        <f t="array" ref="C19">[1]!YBPORT(E19,$E$8:$K$8,E19:K19)</f>
        <v>YBP_BOND11_5</v>
      </c>
      <c r="D19" s="9" cm="1">
        <f t="array" ref="D19">[1]!YBPRICE(C19,"0o",A19,"Price","Swap",A19,"Default","","",,"")/100*1000000000</f>
        <v>1899907.9999999998</v>
      </c>
      <c r="E19" s="1" t="s">
        <v>150</v>
      </c>
      <c r="F19" s="1" t="s">
        <v>140</v>
      </c>
      <c r="G19" s="9">
        <v>-98.153389301286694</v>
      </c>
      <c r="H19" s="1">
        <v>12</v>
      </c>
      <c r="I19" s="6">
        <v>46354</v>
      </c>
      <c r="J19" s="6">
        <v>45989</v>
      </c>
      <c r="K19" s="5">
        <f>J19+30</f>
        <v>46019</v>
      </c>
    </row>
  </sheetData>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2D47F-37A8-41EB-A94F-4F05C82F2B1D}">
  <dimension ref="A1:L57"/>
  <sheetViews>
    <sheetView workbookViewId="0">
      <selection activeCell="D26" sqref="D26"/>
    </sheetView>
  </sheetViews>
  <sheetFormatPr baseColWidth="10" defaultColWidth="17" defaultRowHeight="15" x14ac:dyDescent="0.2"/>
  <cols>
    <col min="1" max="1" width="19.83203125" customWidth="1"/>
    <col min="2" max="2" width="24.1640625" customWidth="1"/>
    <col min="4" max="4" width="20.5" customWidth="1"/>
  </cols>
  <sheetData>
    <row r="1" spans="1:12" x14ac:dyDescent="0.2">
      <c r="A1" t="s">
        <v>115</v>
      </c>
    </row>
    <row r="3" spans="1:12" x14ac:dyDescent="0.2">
      <c r="A3" s="22" t="s">
        <v>116</v>
      </c>
      <c r="B3" s="27">
        <v>45688</v>
      </c>
      <c r="C3" s="27">
        <v>45716</v>
      </c>
      <c r="D3" s="27">
        <v>45747</v>
      </c>
      <c r="E3" s="27">
        <v>45777</v>
      </c>
      <c r="F3" s="27">
        <v>45807</v>
      </c>
      <c r="G3" s="27">
        <v>45838</v>
      </c>
      <c r="H3" s="27">
        <v>45869</v>
      </c>
      <c r="I3" s="27">
        <v>45898</v>
      </c>
      <c r="J3" s="27">
        <v>45930</v>
      </c>
      <c r="K3" s="27">
        <v>45961</v>
      </c>
      <c r="L3" s="27">
        <v>45989</v>
      </c>
    </row>
    <row r="4" spans="1:12" x14ac:dyDescent="0.2">
      <c r="A4" s="1" t="s">
        <v>117</v>
      </c>
      <c r="B4" s="9">
        <f>1/12</f>
        <v>8.3333333333333329E-2</v>
      </c>
      <c r="C4" s="9">
        <f>2/12</f>
        <v>0.16666666666666666</v>
      </c>
      <c r="D4" s="9">
        <f>3/12</f>
        <v>0.25</v>
      </c>
      <c r="E4" s="9">
        <f>4/12</f>
        <v>0.33333333333333331</v>
      </c>
      <c r="F4" s="9">
        <f>5/12</f>
        <v>0.41666666666666669</v>
      </c>
      <c r="G4" s="9">
        <f>6/12</f>
        <v>0.5</v>
      </c>
      <c r="H4" s="9">
        <f>7/12</f>
        <v>0.58333333333333337</v>
      </c>
      <c r="I4" s="9">
        <f>8/12</f>
        <v>0.66666666666666663</v>
      </c>
      <c r="J4" s="9">
        <f>9/12</f>
        <v>0.75</v>
      </c>
      <c r="K4" s="9">
        <f>10/12</f>
        <v>0.83333333333333337</v>
      </c>
      <c r="L4" s="9">
        <f>11/12</f>
        <v>0.91666666666666663</v>
      </c>
    </row>
    <row r="5" spans="1:12" x14ac:dyDescent="0.2">
      <c r="A5" s="1" t="s">
        <v>118</v>
      </c>
      <c r="B5" s="9" cm="1">
        <f t="array" ref="B5">[1]!YBCURVEANALY("USD","Swap","SpotRate",B3,B4,"","","Spot",0,"","Y")</f>
        <v>4.5660999999999996</v>
      </c>
      <c r="C5" s="9" cm="1">
        <f t="array" ref="C5">[1]!YBCURVEANALY("USD","Swap","SpotRate",C3,C4,"","","Spot",0,"","Y")</f>
        <v>4.5616000000000003</v>
      </c>
      <c r="D5" s="9" cm="1">
        <f t="array" ref="D5">[1]!YBCURVEANALY("USD","Swap","SpotRate",D3,D4,"","","Spot",0,"","Y")</f>
        <v>4.5460000000000003</v>
      </c>
      <c r="E5" s="9" cm="1">
        <f t="array" ref="E5">[1]!YBCURVEANALY("USD","Swap","SpotRate",E3,E4,"","","Spot",0,"","Y")</f>
        <v>4.456266666666667</v>
      </c>
      <c r="F5" s="9" cm="1">
        <f t="array" ref="F5">[1]!YBCURVEANALY("USD","Swap","SpotRate",F3,F4,"","","Spot",0,"","Y")</f>
        <v>4.5330333333333339</v>
      </c>
      <c r="G5" s="9" cm="1">
        <f t="array" ref="G5">[1]!YBCURVEANALY("USD","Swap","SpotRate",G3,G4,"","","Spot",0,"","Y")</f>
        <v>4.3986999999999998</v>
      </c>
      <c r="H5" s="9" cm="1">
        <f t="array" ref="H5">[1]!YBCURVEANALY("USD","Swap","SpotRate",H3,H4,"","","Spot",0,"","Y")</f>
        <v>4.4892666666666665</v>
      </c>
      <c r="I5" s="9" cm="1">
        <f t="array" ref="I5">[1]!YBCURVEANALY("USD","Swap","SpotRate",I3,I4,"","","Spot",0,"","Y")</f>
        <v>4.1978666666666662</v>
      </c>
      <c r="J5" s="9" cm="1">
        <f t="array" ref="J5">[1]!YBCURVEANALY("USD","Swap","SpotRate",J3,J4,"","","Spot",0,"","Y")</f>
        <v>4.0124000000000004</v>
      </c>
      <c r="K5" s="9" cm="1">
        <f t="array" ref="K5">[1]!YBCURVEANALY("USD","Swap","SpotRate",K3,K4,"","","Spot",0,"","Y")</f>
        <v>3.9739333333333335</v>
      </c>
      <c r="L5" s="9" cm="1">
        <f t="array" ref="L5">[1]!YBCURVEANALY("USD","Swap","SpotRate",L3,L4,"","","Spot",0,"","Y")</f>
        <v>3.8288333333333333</v>
      </c>
    </row>
    <row r="6" spans="1:12" x14ac:dyDescent="0.2">
      <c r="A6" s="1" t="s">
        <v>119</v>
      </c>
      <c r="B6" s="9" cm="1">
        <f t="array" ref="B6">[1]!YBCURVEANALY("USD","Swap","SpotRate",B3,B4,"","","Spot",50,"","Y")</f>
        <v>5.0660999999999996</v>
      </c>
      <c r="C6" s="9" cm="1">
        <f t="array" ref="C6">[1]!YBCURVEANALY("USD","Swap","SpotRate",C3,C4,"","","Spot",50,"","Y")</f>
        <v>5.0616000000000003</v>
      </c>
      <c r="D6" s="9" cm="1">
        <f t="array" ref="D6">[1]!YBCURVEANALY("USD","Swap","SpotRate",D3,D4,"","","Spot",50,"","Y")</f>
        <v>5.0460000000000003</v>
      </c>
      <c r="E6" s="9" cm="1">
        <f t="array" ref="E6">[1]!YBCURVEANALY("USD","Swap","SpotRate",E3,E4,"","","Spot",50,"","Y")</f>
        <v>4.956266666666667</v>
      </c>
      <c r="F6" s="9" cm="1">
        <f t="array" ref="F6">[1]!YBCURVEANALY("USD","Swap","SpotRate",F3,F4,"","","Spot",50,"","Y")</f>
        <v>5.0330333333333339</v>
      </c>
      <c r="G6" s="9" cm="1">
        <f t="array" ref="G6">[1]!YBCURVEANALY("USD","Swap","SpotRate",G3,G4,"","","Spot",50,"","Y")</f>
        <v>4.8986999999999998</v>
      </c>
      <c r="H6" s="9" cm="1">
        <f t="array" ref="H6">[1]!YBCURVEANALY("USD","Swap","SpotRate",H3,H4,"","","Spot",50,"","Y")</f>
        <v>4.9892666666666665</v>
      </c>
      <c r="I6" s="9" cm="1">
        <f t="array" ref="I6">[1]!YBCURVEANALY("USD","Swap","SpotRate",I3,I4,"","","Spot",50,"","Y")</f>
        <v>4.6978666666666662</v>
      </c>
      <c r="J6" s="9" cm="1">
        <f t="array" ref="J6">[1]!YBCURVEANALY("USD","Swap","SpotRate",J3,J4,"","","Spot",50,"","Y")</f>
        <v>4.5124000000000004</v>
      </c>
      <c r="K6" s="9" cm="1">
        <f t="array" ref="K6">[1]!YBCURVEANALY("USD","Swap","SpotRate",K3,K4,"","","Spot",50,"","Y")</f>
        <v>4.473933333333334</v>
      </c>
      <c r="L6" s="9" cm="1">
        <f t="array" ref="L6">[1]!YBCURVEANALY("USD","Swap","SpotRate",L3,L4,"","","Spot",50,"","Y")</f>
        <v>4.3288333333333329</v>
      </c>
    </row>
    <row r="7" spans="1:12" x14ac:dyDescent="0.2">
      <c r="A7" s="1" t="s">
        <v>120</v>
      </c>
      <c r="B7" s="1" t="str" cm="1">
        <f t="array" ref="B7">[1]!YBSW("50bpslessyears","USD",B4:L4,B6:L6,"Absolute","Spot")</f>
        <v>YBSW_50BPSLESSYEARS_1</v>
      </c>
      <c r="C7" s="1"/>
      <c r="D7" s="1"/>
      <c r="E7" s="1"/>
      <c r="F7" s="1"/>
      <c r="G7" s="1"/>
      <c r="H7" s="1"/>
      <c r="I7" s="1"/>
      <c r="J7" s="1"/>
      <c r="K7" s="1"/>
      <c r="L7" s="1"/>
    </row>
    <row r="9" spans="1:12" x14ac:dyDescent="0.2">
      <c r="A9" s="25" t="s">
        <v>129</v>
      </c>
      <c r="B9" s="25"/>
      <c r="C9" s="25"/>
      <c r="D9" s="25"/>
      <c r="E9" s="25"/>
      <c r="F9" s="25"/>
      <c r="G9" s="25"/>
      <c r="H9" s="25"/>
      <c r="I9" s="25"/>
      <c r="J9" s="25"/>
      <c r="K9" s="25"/>
      <c r="L9" s="25"/>
    </row>
    <row r="10" spans="1:12" x14ac:dyDescent="0.2">
      <c r="A10" s="28" t="s">
        <v>116</v>
      </c>
      <c r="B10" s="29">
        <v>45688</v>
      </c>
      <c r="C10" s="29">
        <v>45716</v>
      </c>
      <c r="D10" s="29">
        <v>45747</v>
      </c>
      <c r="E10" s="29">
        <v>45777</v>
      </c>
      <c r="F10" s="29">
        <v>45807</v>
      </c>
      <c r="G10" s="29">
        <v>45838</v>
      </c>
      <c r="H10" s="29">
        <v>45869</v>
      </c>
      <c r="I10" s="29">
        <v>45898</v>
      </c>
      <c r="J10" s="29">
        <v>45930</v>
      </c>
      <c r="K10" s="29">
        <v>45961</v>
      </c>
      <c r="L10" s="29">
        <v>45989</v>
      </c>
    </row>
    <row r="11" spans="1:12" x14ac:dyDescent="0.2">
      <c r="A11" s="1" t="str">
        <f>'Part 1 - Portfolio'!A5</f>
        <v>YBP_SWAP1</v>
      </c>
      <c r="B11" s="1" cm="1">
        <f t="array" ref="B11">[1]!YBPRICE($A11,"0o",B$10,"Price","Swap",B$10,"Default","","",,"",,$B$7)/100*Portfolio!$B3</f>
        <v>-61730.705508400002</v>
      </c>
      <c r="C11" s="1" cm="1">
        <f t="array" ref="C11">[1]!YBPRICE($A11,"0o",C$10,"Price","Swap",C$10,"Default","","",,"",,$B$7)/100*Portfolio!$B3</f>
        <v>-59625.150365199996</v>
      </c>
      <c r="D11" s="1" cm="1">
        <f t="array" ref="D11">[1]!YBPRICE($A11,"0o",D$10,"Price","Swap",D$10,"Default","","",,"",,$B$7)/100*Portfolio!$B3</f>
        <v>-60407.276626399995</v>
      </c>
      <c r="E11" s="1" cm="1">
        <f t="array" ref="E11">[1]!YBPRICE($A11,"0o",E$10,"Price","Swap",E$10,"Default","","",,"",,$B$7)/100*Portfolio!$B3</f>
        <v>-61496.989361600004</v>
      </c>
      <c r="F11" s="1" cm="1">
        <f t="array" ref="F11">[1]!YBPRICE($A11,"0o",F$10,"Price","Swap",F$10,"Default","","",,"",,$B$7)/100*Portfolio!$B3</f>
        <v>-64187.624210800001</v>
      </c>
      <c r="G11" s="1" cm="1">
        <f t="array" ref="G11">[1]!YBPRICE($A11,"0o",G$10,"Price","Swap",G$10,"Default","","",,"",,$B$7)/100*Portfolio!$B3</f>
        <v>-63759.590015199996</v>
      </c>
      <c r="H11" s="1" cm="1">
        <f t="array" ref="H11">[1]!YBPRICE($A11,"0o",H$10,"Price","Swap",H$10,"Default","","",,"",,$B$7)/100*Portfolio!$B3</f>
        <v>-59688.0210936</v>
      </c>
      <c r="I11" s="1" cm="1">
        <f t="array" ref="I11">[1]!YBPRICE($A11,"0o",I$10,"Price","Swap",I$10,"Default","","",,"",,$B$7)/100*Portfolio!$B3</f>
        <v>-51589.719672799998</v>
      </c>
      <c r="J11" s="1" cm="1">
        <f t="array" ref="J11">[1]!YBPRICE($A11,"0o",J$10,"Price","Swap",J$10,"Default","","",,"",,$B$7)/100*Portfolio!$B3</f>
        <v>-41737.239454800001</v>
      </c>
      <c r="K11" s="1" cm="1">
        <f t="array" ref="K11">[1]!YBPRICE($A11,"0o",K$10,"Price","Swap",K$10,"Default","","",,"",,$B$7)/100*Portfolio!$B3</f>
        <v>-31000.550049599999</v>
      </c>
      <c r="L11" s="1" cm="1">
        <f t="array" ref="L11">[1]!YBPRICE($A11,"0o",L$10,"Price","Swap",L$10,"Default","","",,"",,$B$7)/100*Portfolio!$B3</f>
        <v>-20507.307546</v>
      </c>
    </row>
    <row r="12" spans="1:12" x14ac:dyDescent="0.2">
      <c r="A12" s="1" t="str">
        <f>'Part 1 - Portfolio'!A6</f>
        <v>YBP_SWAP2</v>
      </c>
      <c r="B12" s="1" cm="1">
        <f t="array" ref="B12">[1]!YBPRICE($A12,"0o",B$10,"Price","Swap",B$10,"Default","","",,"",,$B$7)/100*Portfolio!$B4</f>
        <v>-55367.498425199999</v>
      </c>
      <c r="C12" s="1" cm="1">
        <f t="array" ref="C12">[1]!YBPRICE($A12,"0o",C$10,"Price","Swap",C$10,"Default","","",,"",,$B$7)/100*Portfolio!$B4</f>
        <v>25481.324252800001</v>
      </c>
      <c r="D12" s="1" cm="1">
        <f t="array" ref="D12">[1]!YBPRICE($A12,"0o",D$10,"Price","Swap",D$10,"Default","","",,"",,$B$7)/100*Portfolio!$B4</f>
        <v>7516.6885975999994</v>
      </c>
      <c r="E12" s="1" cm="1">
        <f t="array" ref="E12">[1]!YBPRICE($A12,"0o",E$10,"Price","Swap",E$10,"Default","","",,"",,$B$7)/100*Portfolio!$B4</f>
        <v>-4467.9237824000002</v>
      </c>
      <c r="F12" s="1" cm="1">
        <f t="array" ref="F12">[1]!YBPRICE($A12,"0o",F$10,"Price","Swap",F$10,"Default","","",,"",,$B$7)/100*Portfolio!$B4</f>
        <v>14957.160244000001</v>
      </c>
      <c r="G12" s="1" cm="1">
        <f t="array" ref="G12">[1]!YBPRICE($A12,"0o",G$10,"Price","Swap",G$10,"Default","","",,"",,$B$7)/100*Portfolio!$B4</f>
        <v>24165.200799999999</v>
      </c>
      <c r="H12" s="1" cm="1">
        <f t="array" ref="H12">[1]!YBPRICE($A12,"0o",H$10,"Price","Swap",H$10,"Default","","",,"",,$B$7)/100*Portfolio!$B4</f>
        <v>46376.010589999991</v>
      </c>
      <c r="I12" s="1" cm="1">
        <f t="array" ref="I12">[1]!YBPRICE($A12,"0o",I$10,"Price","Swap",I$10,"Default","","",,"",,$B$7)/100*Portfolio!$B4</f>
        <v>-3888.8818020000003</v>
      </c>
      <c r="J12" s="1" cm="1">
        <f t="array" ref="J12">[1]!YBPRICE($A12,"0o",J$10,"Price","Swap",J$10,"Default","","",,"",,$B$7)/100*Portfolio!$B4</f>
        <v>-47114.420886000007</v>
      </c>
      <c r="K12" s="1" cm="1">
        <f t="array" ref="K12">[1]!YBPRICE($A12,"0o",K$10,"Price","Swap",K$10,"Default","","",,"",,$B$7)/100*Portfolio!$B4</f>
        <v>-53873.331891599992</v>
      </c>
      <c r="L12" s="1" cm="1">
        <f t="array" ref="L12">[1]!YBPRICE($A12,"0o",L$10,"Price","Swap",L$10,"Default","","",,"",,$B$7)/100*Portfolio!$B4</f>
        <v>-63519.138680399999</v>
      </c>
    </row>
    <row r="13" spans="1:12" x14ac:dyDescent="0.2">
      <c r="A13" s="1" t="str">
        <f>'Part 1 - Portfolio'!A7</f>
        <v>YBP_SWAP3</v>
      </c>
      <c r="B13" s="1" cm="1">
        <f t="array" ref="B13">[1]!YBPRICE($A13,"0o",B$10,"Price","Swap",B$10,"Default","","",,"",,$B$7)/100*Portfolio!$B5</f>
        <v>-1091036.3766655999</v>
      </c>
      <c r="C13" s="1" cm="1">
        <f t="array" ref="C13">[1]!YBPRICE($A13,"0o",C$10,"Price","Swap",C$10,"Default","","",,"",,$B$7)/100*Portfolio!$B5</f>
        <v>-1020685.1581311999</v>
      </c>
      <c r="D13" s="1" cm="1">
        <f t="array" ref="D13">[1]!YBPRICE($A13,"0o",D$10,"Price","Swap",D$10,"Default","","",,"",,$B$7)/100*Portfolio!$B5</f>
        <v>-1019005.9958143998</v>
      </c>
      <c r="E13" s="1" cm="1">
        <f t="array" ref="E13">[1]!YBPRICE($A13,"0o",E$10,"Price","Swap",E$10,"Default","","",,"",,$B$7)/100*Portfolio!$B5</f>
        <v>-1014983.4295743998</v>
      </c>
      <c r="F13" s="1" cm="1">
        <f t="array" ref="F13">[1]!YBPRICE($A13,"0o",F$10,"Price","Swap",F$10,"Default","","",,"",,$B$7)/100*Portfolio!$B5</f>
        <v>-994499.62145279977</v>
      </c>
      <c r="G13" s="1" cm="1">
        <f t="array" ref="G13">[1]!YBPRICE($A13,"0o",G$10,"Price","Swap",G$10,"Default","","",,"",,$B$7)/100*Portfolio!$B5</f>
        <v>-972627.29517439986</v>
      </c>
      <c r="H13" s="1" cm="1">
        <f t="array" ref="H13">[1]!YBPRICE($A13,"0o",H$10,"Price","Swap",H$10,"Default","","",,"",,$B$7)/100*Portfolio!$B5</f>
        <v>-948945.74097919976</v>
      </c>
      <c r="I13" s="1" cm="1">
        <f t="array" ref="I13">[1]!YBPRICE($A13,"0o",I$10,"Price","Swap",I$10,"Default","","",,"",,$B$7)/100*Portfolio!$B5</f>
        <v>-976589.43867519975</v>
      </c>
      <c r="J13" s="1" cm="1">
        <f t="array" ref="J13">[1]!YBPRICE($A13,"0o",J$10,"Price","Swap",J$10,"Default","","",,"",,$B$7)/100*Portfolio!$B5</f>
        <v>-995202.27096320002</v>
      </c>
      <c r="K13" s="1" cm="1">
        <f t="array" ref="K13">[1]!YBPRICE($A13,"0o",K$10,"Price","Swap",K$10,"Default","","",,"",,$B$7)/100*Portfolio!$B5</f>
        <v>-995791.53208959976</v>
      </c>
      <c r="L13" s="1" cm="1">
        <f t="array" ref="L13">[1]!YBPRICE($A13,"0o",L$10,"Price","Swap",L$10,"Default","","",,"",,$B$7)/100*Portfolio!$B5</f>
        <v>-996341.64865279966</v>
      </c>
    </row>
    <row r="14" spans="1:12" x14ac:dyDescent="0.2">
      <c r="A14" s="1" t="str">
        <f>'Part 1 - Portfolio'!A8</f>
        <v>YBP_SWAP4</v>
      </c>
      <c r="B14" s="1" cm="1">
        <f t="array" ref="B14">[1]!YBPRICE($A14,"0o",B$10,"Price","Swap",B$10,"Default","","",,"",,$B$7)/100*Portfolio!$B6</f>
        <v>259463.65719800003</v>
      </c>
      <c r="C14" s="1" cm="1">
        <f t="array" ref="C14">[1]!YBPRICE($A14,"0o",C$10,"Price","Swap",C$10,"Default","","",,"",,$B$7)/100*Portfolio!$B6</f>
        <v>436835.90826059994</v>
      </c>
      <c r="D14" s="1" cm="1">
        <f t="array" ref="D14">[1]!YBPRICE($A14,"0o",D$10,"Price","Swap",D$10,"Default","","",,"",,$B$7)/100*Portfolio!$B6</f>
        <v>344418.57910039998</v>
      </c>
      <c r="E14" s="1" cm="1">
        <f t="array" ref="E14">[1]!YBPRICE($A14,"0o",E$10,"Price","Swap",E$10,"Default","","",,"",,$B$7)/100*Portfolio!$B6</f>
        <v>222910.7621276</v>
      </c>
      <c r="F14" s="1" cm="1">
        <f t="array" ref="F14">[1]!YBPRICE($A14,"0o",F$10,"Price","Swap",F$10,"Default","","",,"",,$B$7)/100*Portfolio!$B6</f>
        <v>267973.58404659998</v>
      </c>
      <c r="G14" s="1" cm="1">
        <f t="array" ref="G14">[1]!YBPRICE($A14,"0o",G$10,"Price","Swap",G$10,"Default","","",,"",,$B$7)/100*Portfolio!$B6</f>
        <v>290134.1892582</v>
      </c>
      <c r="H14" s="1" cm="1">
        <f t="array" ref="H14">[1]!YBPRICE($A14,"0o",H$10,"Price","Swap",H$10,"Default","","",,"",,$B$7)/100*Portfolio!$B6</f>
        <v>374144.11400539998</v>
      </c>
      <c r="I14" s="1" cm="1">
        <f t="array" ref="I14">[1]!YBPRICE($A14,"0o",I$10,"Price","Swap",I$10,"Default","","",,"",,$B$7)/100*Portfolio!$B6</f>
        <v>174766.42841980001</v>
      </c>
      <c r="J14" s="1" cm="1">
        <f t="array" ref="J14">[1]!YBPRICE($A14,"0o",J$10,"Price","Swap",J$10,"Default","","",,"",,$B$7)/100*Portfolio!$B6</f>
        <v>119811.62983640001</v>
      </c>
      <c r="K14" s="1" cm="1">
        <f t="array" ref="K14">[1]!YBPRICE($A14,"0o",K$10,"Price","Swap",K$10,"Default","","",,"",,$B$7)/100*Portfolio!$B6</f>
        <v>105794.1281244</v>
      </c>
      <c r="L14" s="1" cm="1">
        <f t="array" ref="L14">[1]!YBPRICE($A14,"0o",L$10,"Price","Swap",L$10,"Default","","",,"",,$B$7)/100*Portfolio!$B6</f>
        <v>57121.325288000007</v>
      </c>
    </row>
    <row r="15" spans="1:12" x14ac:dyDescent="0.2">
      <c r="A15" s="1" t="str">
        <f>'Part 1 - Portfolio'!A9</f>
        <v>YBP_SWAP5</v>
      </c>
      <c r="B15" s="1" cm="1">
        <f t="array" ref="B15">[1]!YBPRICE($A15,"0o",B$10,"Price","Swap",B$10,"Default","","",,"",,$B$7)/100*Portfolio!$B7</f>
        <v>651598.02111959993</v>
      </c>
      <c r="C15" s="1" cm="1">
        <f t="array" ref="C15">[1]!YBPRICE($A15,"0o",C$10,"Price","Swap",C$10,"Default","","",,"",,$B$7)/100*Portfolio!$B7</f>
        <v>575492.96045700007</v>
      </c>
      <c r="D15" s="1" cm="1">
        <f t="array" ref="D15">[1]!YBPRICE($A15,"0o",D$10,"Price","Swap",D$10,"Default","","",,"",,$B$7)/100*Portfolio!$B7</f>
        <v>569691.33586560003</v>
      </c>
      <c r="E15" s="1" cm="1">
        <f t="array" ref="E15">[1]!YBPRICE($A15,"0o",E$10,"Price","Swap",E$10,"Default","","",,"",,$B$7)/100*Portfolio!$B7</f>
        <v>538576.93064160005</v>
      </c>
      <c r="F15" s="1" cm="1">
        <f t="array" ref="F15">[1]!YBPRICE($A15,"0o",F$10,"Price","Swap",F$10,"Default","","",,"",,$B$7)/100*Portfolio!$B7</f>
        <v>521808.87624120008</v>
      </c>
      <c r="G15" s="1" cm="1">
        <f t="array" ref="G15">[1]!YBPRICE($A15,"0o",G$10,"Price","Swap",G$10,"Default","","",,"",,$B$7)/100*Portfolio!$B7</f>
        <v>504771.91497360001</v>
      </c>
      <c r="H15" s="1" cm="1">
        <f t="array" ref="H15">[1]!YBPRICE($A15,"0o",H$10,"Price","Swap",H$10,"Default","","",,"",,$B$7)/100*Portfolio!$B7</f>
        <v>486594.23207759997</v>
      </c>
      <c r="I15" s="1" cm="1">
        <f t="array" ref="I15">[1]!YBPRICE($A15,"0o",I$10,"Price","Swap",I$10,"Default","","",,"",,$B$7)/100*Portfolio!$B7</f>
        <v>494309.76672239997</v>
      </c>
      <c r="J15" s="1" cm="1">
        <f t="array" ref="J15">[1]!YBPRICE($A15,"0o",J$10,"Price","Swap",J$10,"Default","","",,"",,$B$7)/100*Portfolio!$B7</f>
        <v>534732.50715119997</v>
      </c>
      <c r="K15" s="1" cm="1">
        <f t="array" ref="K15">[1]!YBPRICE($A15,"0o",K$10,"Price","Swap",K$10,"Default","","",,"",,$B$7)/100*Portfolio!$B7</f>
        <v>532393.94124179997</v>
      </c>
      <c r="L15" s="1" cm="1">
        <f t="array" ref="L15">[1]!YBPRICE($A15,"0o",L$10,"Price","Swap",L$10,"Default","","",,"",,$B$7)/100*Portfolio!$B7</f>
        <v>526738.70926619996</v>
      </c>
    </row>
    <row r="16" spans="1:12" x14ac:dyDescent="0.2">
      <c r="A16" s="1" t="str">
        <f>'Part 1 - Portfolio'!A10</f>
        <v>YBP_SWAP6</v>
      </c>
      <c r="B16" s="1" cm="1">
        <f t="array" ref="B16">[1]!YBPRICE($A16,"0o",B$10,"Price","Swap",B$10,"Default","","",,"",,$B$7)/100*Portfolio!$B8</f>
        <v>605251.59113929991</v>
      </c>
      <c r="C16" s="1" cm="1">
        <f t="array" ref="C16">[1]!YBPRICE($A16,"0o",C$10,"Price","Swap",C$10,"Default","","",,"",,$B$7)/100*Portfolio!$B8</f>
        <v>546262.21799619996</v>
      </c>
      <c r="D16" s="1" cm="1">
        <f t="array" ref="D16">[1]!YBPRICE($A16,"0o",D$10,"Price","Swap",D$10,"Default","","",,"",,$B$7)/100*Portfolio!$B8</f>
        <v>557942.13769629993</v>
      </c>
      <c r="E16" s="1" cm="1">
        <f t="array" ref="E16">[1]!YBPRICE($A16,"0o",E$10,"Price","Swap",E$10,"Default","","",,"",,$B$7)/100*Portfolio!$B8</f>
        <v>572685.54629499989</v>
      </c>
      <c r="F16" s="1" cm="1">
        <f t="array" ref="F16">[1]!YBPRICE($A16,"0o",F$10,"Price","Swap",F$10,"Default","","",,"",,$B$7)/100*Portfolio!$B8</f>
        <v>554308.89336289989</v>
      </c>
      <c r="G16" s="1" cm="1">
        <f t="array" ref="G16">[1]!YBPRICE($A16,"0o",G$10,"Price","Swap",G$10,"Default","","",,"",,$B$7)/100*Portfolio!$B8</f>
        <v>545371.83136029996</v>
      </c>
      <c r="H16" s="1" cm="1">
        <f t="array" ref="H16">[1]!YBPRICE($A16,"0o",H$10,"Price","Swap",H$10,"Default","","",,"",,$B$7)/100*Portfolio!$B8</f>
        <v>524492.63433639985</v>
      </c>
      <c r="I16" s="1" cm="1">
        <f t="array" ref="I16">[1]!YBPRICE($A16,"0o",I$10,"Price","Swap",I$10,"Default","","",,"",,$B$7)/100*Portfolio!$B8</f>
        <v>565583.07917119993</v>
      </c>
      <c r="J16" s="1" cm="1">
        <f t="array" ref="J16">[1]!YBPRICE($A16,"0o",J$10,"Price","Swap",J$10,"Default","","",,"",,$B$7)/100*Portfolio!$B8</f>
        <v>587492.46893689991</v>
      </c>
      <c r="K16" s="1" cm="1">
        <f t="array" ref="K16">[1]!YBPRICE($A16,"0o",K$10,"Price","Swap",K$10,"Default","","",,"",,$B$7)/100*Portfolio!$B8</f>
        <v>588979.59448759991</v>
      </c>
      <c r="L16" s="1" cm="1">
        <f t="array" ref="L16">[1]!YBPRICE($A16,"0o",L$10,"Price","Swap",L$10,"Default","","",,"",,$B$7)/100*Portfolio!$B8</f>
        <v>595338.4606342999</v>
      </c>
    </row>
    <row r="17" spans="1:12" x14ac:dyDescent="0.2">
      <c r="A17" s="1" t="str">
        <f>'Part 1 - Portfolio'!A11</f>
        <v>YBP_SWAP7</v>
      </c>
      <c r="B17" s="1" cm="1">
        <f t="array" ref="B17">[1]!YBPRICE($A17,"0o",B$10,"Price","Swap",B$10,"Default","","",,"",,$B$7)/100*Portfolio!$B9</f>
        <v>-9730.3298164000007</v>
      </c>
      <c r="C17" s="1" cm="1">
        <f t="array" ref="C17">[1]!YBPRICE($A17,"0o",C$10,"Price","Swap",C$10,"Default","","",,"",,$B$7)/100*Portfolio!$B9</f>
        <v>-10041.968758299998</v>
      </c>
      <c r="D17" s="1" cm="1">
        <f t="array" ref="D17">[1]!YBPRICE($A17,"0o",D$10,"Price","Swap",D$10,"Default","","",,"",,$B$7)/100*Portfolio!$B9</f>
        <v>-8012.9854267999999</v>
      </c>
      <c r="E17" s="1" cm="1">
        <f t="array" ref="E17">[1]!YBPRICE($A17,"0o",E$10,"Price","Swap",E$10,"Default","","",,"",,$B$7)/100*Portfolio!$B9</f>
        <v>-5919.6071883999994</v>
      </c>
      <c r="F17" s="1" cm="1">
        <f t="array" ref="F17">[1]!YBPRICE($A17,"0o",F$10,"Price","Swap",F$10,"Default","","",,"",,$B$7)/100*Portfolio!$B9</f>
        <v>-2855.9467598999995</v>
      </c>
      <c r="G17" s="1" cm="1">
        <f t="array" ref="G17">[1]!YBPRICE($A17,"0o",G$10,"Price","Swap",G$10,"Default","","",,"",,$B$7)/100*Portfolio!$B9</f>
        <v>-765.56126119999988</v>
      </c>
      <c r="H17" s="1" cm="1">
        <f t="array" ref="H17">[1]!YBPRICE($A17,"0o",H$10,"Price","Swap",H$10,"Default","","",,"",,$B$7)/100*Portfolio!$B9</f>
        <v>1923.1528467999997</v>
      </c>
      <c r="I17" s="1" cm="1">
        <f t="array" ref="I17">[1]!YBPRICE($A17,"0o",I$10,"Price","Swap",I$10,"Default","","",,"",,$B$7)/100*Portfolio!$B9</f>
        <v>3956.9304932</v>
      </c>
      <c r="J17" s="1" cm="1">
        <f t="array" ref="J17">[1]!YBPRICE($A17,"0o",J$10,"Price","Swap",J$10,"Default","","",,"",,$B$7)/100*Portfolio!$B9</f>
        <v>6227.6009387999993</v>
      </c>
      <c r="K17" s="1" cm="1">
        <f t="array" ref="K17">[1]!YBPRICE($A17,"0o",K$10,"Price","Swap",K$10,"Default","","",,"",,$B$7)/100*Portfolio!$B9</f>
        <v>5980.7717744999991</v>
      </c>
      <c r="L17" s="1" cm="1">
        <f t="array" ref="L17">[1]!YBPRICE($A17,"0o",L$10,"Price","Swap",L$10,"Default","","",,"",,$B$7)/100*Portfolio!$B9</f>
        <v>5290.1072217999999</v>
      </c>
    </row>
    <row r="18" spans="1:12" x14ac:dyDescent="0.2">
      <c r="A18" s="1" t="str">
        <f>'Part 1 - Portfolio'!A12</f>
        <v>YBP_SWAP8</v>
      </c>
      <c r="B18" s="1" cm="1">
        <f t="array" ref="B18">[1]!YBPRICE($A18,"0o",B$10,"Price","Swap",B$10,"Default","","",,"",,$B$7)/100*Portfolio!$B10</f>
        <v>43270.371584000008</v>
      </c>
      <c r="C18" s="1" cm="1">
        <f t="array" ref="C18">[1]!YBPRICE($A18,"0o",C$10,"Price","Swap",C$10,"Default","","",,"",,$B$7)/100*Portfolio!$B10</f>
        <v>34782.059224000004</v>
      </c>
      <c r="D18" s="1" cm="1">
        <f t="array" ref="D18">[1]!YBPRICE($A18,"0o",D$10,"Price","Swap",D$10,"Default","","",,"",,$B$7)/100*Portfolio!$B10</f>
        <v>34271.172848000002</v>
      </c>
      <c r="E18" s="1" cm="1">
        <f t="array" ref="E18">[1]!YBPRICE($A18,"0o",E$10,"Price","Swap",E$10,"Default","","",,"",,$B$7)/100*Portfolio!$B10</f>
        <v>30396.720904000002</v>
      </c>
      <c r="F18" s="1" cm="1">
        <f t="array" ref="F18">[1]!YBPRICE($A18,"0o",F$10,"Price","Swap",F$10,"Default","","",,"",,$B$7)/100*Portfolio!$B10</f>
        <v>29103.153728000001</v>
      </c>
      <c r="G18" s="1" cm="1">
        <f t="array" ref="G18">[1]!YBPRICE($A18,"0o",G$10,"Price","Swap",G$10,"Default","","",,"",,$B$7)/100*Portfolio!$B10</f>
        <v>27502.094488000002</v>
      </c>
      <c r="H18" s="1" cm="1">
        <f t="array" ref="H18">[1]!YBPRICE($A18,"0o",H$10,"Price","Swap",H$10,"Default","","",,"",,$B$7)/100*Portfolio!$B10</f>
        <v>25896.605592</v>
      </c>
      <c r="I18" s="1" cm="1">
        <f t="array" ref="I18">[1]!YBPRICE($A18,"0o",I$10,"Price","Swap",I$10,"Default","","",,"",,$B$7)/100*Portfolio!$B10</f>
        <v>27082.616176000003</v>
      </c>
      <c r="J18" s="1" cm="1">
        <f t="array" ref="J18">[1]!YBPRICE($A18,"0o",J$10,"Price","Swap",J$10,"Default","","",,"",,$B$7)/100*Portfolio!$B10</f>
        <v>32398.345056000002</v>
      </c>
      <c r="K18" s="1" cm="1">
        <f t="array" ref="K18">[1]!YBPRICE($A18,"0o",K$10,"Price","Swap",K$10,"Default","","",,"",,$B$7)/100*Portfolio!$B10</f>
        <v>32375.217864000002</v>
      </c>
      <c r="L18" s="1" cm="1">
        <f t="array" ref="L18">[1]!YBPRICE($A18,"0o",L$10,"Price","Swap",L$10,"Default","","",,"",,$B$7)/100*Portfolio!$B10</f>
        <v>32153.026400000002</v>
      </c>
    </row>
    <row r="19" spans="1:12" x14ac:dyDescent="0.2">
      <c r="A19" s="1" t="str">
        <f>'Part 1 - Portfolio'!A13</f>
        <v>YBP_SWAP9</v>
      </c>
      <c r="B19" s="1" cm="1">
        <f t="array" ref="B19">[1]!YBPRICE($A19,"0o",B$10,"Price","Swap",B$10,"Default","","",,"",,$B$7)/100*Portfolio!$B11</f>
        <v>-528842.94679239998</v>
      </c>
      <c r="C19" s="1" cm="1">
        <f t="array" ref="C19">[1]!YBPRICE($A19,"0o",C$10,"Price","Swap",C$10,"Default","","",,"",,$B$7)/100*Portfolio!$B11</f>
        <v>-404690.48713040003</v>
      </c>
      <c r="D19" s="1" cm="1">
        <f t="array" ref="D19">[1]!YBPRICE($A19,"0o",D$10,"Price","Swap",D$10,"Default","","",,"",,$B$7)/100*Portfolio!$B11</f>
        <v>-434343.39743090002</v>
      </c>
      <c r="E19" s="1" cm="1">
        <f t="array" ref="E19">[1]!YBPRICE($A19,"0o",E$10,"Price","Swap",E$10,"Default","","",,"",,$B$7)/100*Portfolio!$B11</f>
        <v>-450296.66116039996</v>
      </c>
      <c r="F19" s="1" cm="1">
        <f t="array" ref="F19">[1]!YBPRICE($A19,"0o",F$10,"Price","Swap",F$10,"Default","","",,"",,$B$7)/100*Portfolio!$B11</f>
        <v>-422247.61036480003</v>
      </c>
      <c r="G19" s="1" cm="1">
        <f t="array" ref="G19">[1]!YBPRICE($A19,"0o",G$10,"Price","Swap",G$10,"Default","","",,"",,$B$7)/100*Portfolio!$B11</f>
        <v>-407306.84906549996</v>
      </c>
      <c r="H19" s="1" cm="1">
        <f t="array" ref="H19">[1]!YBPRICE($A19,"0o",H$10,"Price","Swap",H$10,"Default","","",,"",,$B$7)/100*Portfolio!$B11</f>
        <v>-364362.48370649997</v>
      </c>
      <c r="I19" s="1" cm="1">
        <f t="array" ref="I19">[1]!YBPRICE($A19,"0o",I$10,"Price","Swap",I$10,"Default","","",,"",,$B$7)/100*Portfolio!$B11</f>
        <v>-449278.33717779996</v>
      </c>
      <c r="J19" s="1" cm="1">
        <f t="array" ref="J19">[1]!YBPRICE($A19,"0o",J$10,"Price","Swap",J$10,"Default","","",,"",,$B$7)/100*Portfolio!$B11</f>
        <v>-510450.32331130002</v>
      </c>
      <c r="K19" s="1" cm="1">
        <f t="array" ref="K19">[1]!YBPRICE($A19,"0o",K$10,"Price","Swap",K$10,"Default","","",,"",,$B$7)/100*Portfolio!$B11</f>
        <v>-504067.68849500001</v>
      </c>
      <c r="L19" s="1" cm="1">
        <f t="array" ref="L19">[1]!YBPRICE($A19,"0o",L$10,"Price","Swap",L$10,"Default","","",,"",,$B$7)/100*Portfolio!$B11</f>
        <v>-525746.82154399995</v>
      </c>
    </row>
    <row r="20" spans="1:12" x14ac:dyDescent="0.2">
      <c r="A20" s="1" t="str">
        <f>'Part 1 - Portfolio'!A14</f>
        <v>YBP_SWAP10</v>
      </c>
      <c r="B20" s="1" cm="1">
        <f t="array" ref="B20">[1]!YBPRICE($A20,"0o",B$10,"Price","Swap",B$10,"Default","","",,"",,$B$7)/100*Portfolio!$B12</f>
        <v>-20508.017152</v>
      </c>
      <c r="C20" s="1" cm="1">
        <f t="array" ref="C20">[1]!YBPRICE($A20,"0o",C$10,"Price","Swap",C$10,"Default","","",,"",,$B$7)/100*Portfolio!$B12</f>
        <v>-17247.332176500004</v>
      </c>
      <c r="D20" s="1" cm="1">
        <f t="array" ref="D20">[1]!YBPRICE($A20,"0o",D$10,"Price","Swap",D$10,"Default","","",,"",,$B$7)/100*Portfolio!$B12</f>
        <v>-17076.7429615</v>
      </c>
      <c r="E20" s="1" cm="1">
        <f t="array" ref="E20">[1]!YBPRICE($A20,"0o",E$10,"Price","Swap",E$10,"Default","","",,"",,$B$7)/100*Portfolio!$B12</f>
        <v>-15034.111514500002</v>
      </c>
      <c r="F20" s="1" cm="1">
        <f t="array" ref="F20">[1]!YBPRICE($A20,"0o",F$10,"Price","Swap",F$10,"Default","","",,"",,$B$7)/100*Portfolio!$B12</f>
        <v>-14727.554921000003</v>
      </c>
      <c r="G20" s="1" cm="1">
        <f t="array" ref="G20">[1]!YBPRICE($A20,"0o",G$10,"Price","Swap",G$10,"Default","","",,"",,$B$7)/100*Portfolio!$B12</f>
        <v>-14158.720600000001</v>
      </c>
      <c r="H20" s="1" cm="1">
        <f t="array" ref="H20">[1]!YBPRICE($A20,"0o",H$10,"Price","Swap",H$10,"Default","","",,"",,$B$7)/100*Portfolio!$B12</f>
        <v>-13327.656334500001</v>
      </c>
      <c r="I20" s="1" cm="1">
        <f t="array" ref="I20">[1]!YBPRICE($A20,"0o",I$10,"Price","Swap",I$10,"Default","","",,"",,$B$7)/100*Portfolio!$B12</f>
        <v>-13696.220068000002</v>
      </c>
      <c r="J20" s="1" cm="1">
        <f t="array" ref="J20">[1]!YBPRICE($A20,"0o",J$10,"Price","Swap",J$10,"Default","","",,"",,$B$7)/100*Portfolio!$B12</f>
        <v>-15796.333115000003</v>
      </c>
      <c r="K20" s="1" cm="1">
        <f t="array" ref="K20">[1]!YBPRICE($A20,"0o",K$10,"Price","Swap",K$10,"Default","","",,"",,$B$7)/100*Portfolio!$B12</f>
        <v>-15220.680238000003</v>
      </c>
      <c r="L20" s="1" cm="1">
        <f t="array" ref="L20">[1]!YBPRICE($A20,"0o",L$10,"Price","Swap",L$10,"Default","","",,"",,$B$7)/100*Portfolio!$B12</f>
        <v>-15278.863815000002</v>
      </c>
    </row>
    <row r="21" spans="1:12" x14ac:dyDescent="0.2">
      <c r="A21" s="1" t="str">
        <f>'Part 1 - Portfolio'!A15</f>
        <v>YBP_SWAP11</v>
      </c>
      <c r="B21" s="1" cm="1">
        <f t="array" ref="B21">[1]!YBPRICE($A21,"0o",B$10,"Price","Swap",B$10,"Default","","",,"",,$B$7)/100*Portfolio!$B13</f>
        <v>-95332.274506100017</v>
      </c>
      <c r="C21" s="1" cm="1">
        <f t="array" ref="C21">[1]!YBPRICE($A21,"0o",C$10,"Price","Swap",C$10,"Default","","",,"",,$B$7)/100*Portfolio!$B13</f>
        <v>-86740.537385799995</v>
      </c>
      <c r="D21" s="1" cm="1">
        <f t="array" ref="D21">[1]!YBPRICE($A21,"0o",D$10,"Price","Swap",D$10,"Default","","",,"",,$B$7)/100*Portfolio!$B13</f>
        <v>-82307.417726799991</v>
      </c>
      <c r="E21" s="1" cm="1">
        <f t="array" ref="E21">[1]!YBPRICE($A21,"0o",E$10,"Price","Swap",E$10,"Default","","",,"",,$B$7)/100*Portfolio!$B13</f>
        <v>-74641.441323299994</v>
      </c>
      <c r="F21" s="1" cm="1">
        <f t="array" ref="F21">[1]!YBPRICE($A21,"0o",F$10,"Price","Swap",F$10,"Default","","",,"",,$B$7)/100*Portfolio!$B13</f>
        <v>-74098.092869300002</v>
      </c>
      <c r="G21" s="1" cm="1">
        <f t="array" ref="G21">[1]!YBPRICE($A21,"0o",G$10,"Price","Swap",G$10,"Default","","",,"",,$B$7)/100*Portfolio!$B13</f>
        <v>-69616.358089899994</v>
      </c>
      <c r="H21" s="1" cm="1">
        <f t="array" ref="H21">[1]!YBPRICE($A21,"0o",H$10,"Price","Swap",H$10,"Default","","",,"",,$B$7)/100*Portfolio!$B13</f>
        <v>-68418.169991200004</v>
      </c>
      <c r="I21" s="1" cm="1">
        <f t="array" ref="I21">[1]!YBPRICE($A21,"0o",I$10,"Price","Swap",I$10,"Default","","",,"",,$B$7)/100*Portfolio!$B13</f>
        <v>-65162.292220200005</v>
      </c>
      <c r="J21" s="1" cm="1">
        <f t="array" ref="J21">[1]!YBPRICE($A21,"0o",J$10,"Price","Swap",J$10,"Default","","",,"",,$B$7)/100*Portfolio!$B13</f>
        <v>-63471.059666699999</v>
      </c>
      <c r="K21" s="1" cm="1">
        <f t="array" ref="K21">[1]!YBPRICE($A21,"0o",K$10,"Price","Swap",K$10,"Default","","",,"",,$B$7)/100*Portfolio!$B13</f>
        <v>-60437.140041899998</v>
      </c>
      <c r="L21" s="1" cm="1">
        <f t="array" ref="L21">[1]!YBPRICE($A21,"0o",L$10,"Price","Swap",L$10,"Default","","",,"",,$B$7)/100*Portfolio!$B13</f>
        <v>-57410.510928799995</v>
      </c>
    </row>
    <row r="22" spans="1:12" x14ac:dyDescent="0.2">
      <c r="A22" s="1" t="str">
        <f>'Part 1 - Portfolio'!A16</f>
        <v>YBP_SWAP12</v>
      </c>
      <c r="B22" s="1" cm="1">
        <f t="array" ref="B22">[1]!YBPRICE($A22,"0o",B$10,"Price","Swap",B$10,"Default","","",,"",,$B$7)/100*Portfolio!$B14</f>
        <v>-611758.00690200005</v>
      </c>
      <c r="C22" s="1" cm="1">
        <f t="array" ref="C22">[1]!YBPRICE($A22,"0o",C$10,"Price","Swap",C$10,"Default","","",,"",,$B$7)/100*Portfolio!$B14</f>
        <v>-469443.45282800001</v>
      </c>
      <c r="D22" s="1" cm="1">
        <f t="array" ref="D22">[1]!YBPRICE($A22,"0o",D$10,"Price","Swap",D$10,"Default","","",,"",,$B$7)/100*Portfolio!$B14</f>
        <v>-504481.94330799999</v>
      </c>
      <c r="E22" s="1" cm="1">
        <f t="array" ref="E22">[1]!YBPRICE($A22,"0o",E$10,"Price","Swap",E$10,"Default","","",,"",,$B$7)/100*Portfolio!$B14</f>
        <v>-542866.06584000005</v>
      </c>
      <c r="F22" s="1" cm="1">
        <f t="array" ref="F22">[1]!YBPRICE($A22,"0o",F$10,"Price","Swap",F$10,"Default","","",,"",,$B$7)/100*Portfolio!$B14</f>
        <v>-502099.97241600003</v>
      </c>
      <c r="G22" s="1" cm="1">
        <f t="array" ref="G22">[1]!YBPRICE($A22,"0o",G$10,"Price","Swap",G$10,"Default","","",,"",,$B$7)/100*Portfolio!$B14</f>
        <v>-487151.88097800006</v>
      </c>
      <c r="H22" s="1" cm="1">
        <f t="array" ref="H22">[1]!YBPRICE($A22,"0o",H$10,"Price","Swap",H$10,"Default","","",,"",,$B$7)/100*Portfolio!$B14</f>
        <v>-449677.06550200004</v>
      </c>
      <c r="I22" s="1" cm="1">
        <f t="array" ref="I22">[1]!YBPRICE($A22,"0o",I$10,"Price","Swap",I$10,"Default","","",,"",,$B$7)/100*Portfolio!$B14</f>
        <v>-538376.01326600008</v>
      </c>
      <c r="J22" s="1" cm="1">
        <f t="array" ref="J22">[1]!YBPRICE($A22,"0o",J$10,"Price","Swap",J$10,"Default","","",,"",,$B$7)/100*Portfolio!$B14</f>
        <v>-599897.15737000003</v>
      </c>
      <c r="K22" s="1" cm="1">
        <f t="array" ref="K22">[1]!YBPRICE($A22,"0o",K$10,"Price","Swap",K$10,"Default","","",,"",,$B$7)/100*Portfolio!$B14</f>
        <v>-614485.60675600008</v>
      </c>
      <c r="L22" s="1" cm="1">
        <f t="array" ref="L22">[1]!YBPRICE($A22,"0o",L$10,"Price","Swap",L$10,"Default","","",,"",,$B$7)/100*Portfolio!$B14</f>
        <v>-619165.38161799998</v>
      </c>
    </row>
    <row r="23" spans="1:12" x14ac:dyDescent="0.2">
      <c r="A23" s="1" t="str">
        <f>'Part 1 - Portfolio'!A17</f>
        <v>YBP_SWAP13</v>
      </c>
      <c r="B23" s="1" cm="1">
        <f t="array" ref="B23">[1]!YBPRICE($A23,"0o",B$10,"Price","Swap",B$10,"Default","","",,"",,$B$7)/100*Portfolio!$B15</f>
        <v>16240.880537999999</v>
      </c>
      <c r="C23" s="1" cm="1">
        <f t="array" ref="C23">[1]!YBPRICE($A23,"0o",C$10,"Price","Swap",C$10,"Default","","",,"",,$B$7)/100*Portfolio!$B15</f>
        <v>51940.615337999996</v>
      </c>
      <c r="D23" s="1" cm="1">
        <f t="array" ref="D23">[1]!YBPRICE($A23,"0o",D$10,"Price","Swap",D$10,"Default","","",,"",,$B$7)/100*Portfolio!$B15</f>
        <v>43791.016405499999</v>
      </c>
      <c r="E23" s="1" cm="1">
        <f t="array" ref="E23">[1]!YBPRICE($A23,"0o",E$10,"Price","Swap",E$10,"Default","","",,"",,$B$7)/100*Portfolio!$B15</f>
        <v>38117.914794000004</v>
      </c>
      <c r="F23" s="1" cm="1">
        <f t="array" ref="F23">[1]!YBPRICE($A23,"0o",F$10,"Price","Swap",F$10,"Default","","",,"",,$B$7)/100*Portfolio!$B15</f>
        <v>45393.298425000008</v>
      </c>
      <c r="G23" s="1" cm="1">
        <f t="array" ref="G23">[1]!YBPRICE($A23,"0o",G$10,"Price","Swap",G$10,"Default","","",,"",,$B$7)/100*Portfolio!$B15</f>
        <v>49813.899655499998</v>
      </c>
      <c r="H23" s="1" cm="1">
        <f t="array" ref="H23">[1]!YBPRICE($A23,"0o",H$10,"Price","Swap",H$10,"Default","","",,"",,$B$7)/100*Portfolio!$B15</f>
        <v>58766.62833</v>
      </c>
      <c r="I23" s="1" cm="1">
        <f t="array" ref="I23">[1]!YBPRICE($A23,"0o",I$10,"Price","Swap",I$10,"Default","","",,"",,$B$7)/100*Portfolio!$B15</f>
        <v>35832.464518500004</v>
      </c>
      <c r="J23" s="1" cm="1">
        <f t="array" ref="J23">[1]!YBPRICE($A23,"0o",J$10,"Price","Swap",J$10,"Default","","",,"",,$B$7)/100*Portfolio!$B15</f>
        <v>17138.757289500001</v>
      </c>
      <c r="K23" s="1" cm="1">
        <f t="array" ref="K23">[1]!YBPRICE($A23,"0o",K$10,"Price","Swap",K$10,"Default","","",,"",,$B$7)/100*Portfolio!$B15</f>
        <v>13125.853629000001</v>
      </c>
      <c r="L23" s="1" cm="1">
        <f t="array" ref="L23">[1]!YBPRICE($A23,"0o",L$10,"Price","Swap",L$10,"Default","","",,"",,$B$7)/100*Portfolio!$B15</f>
        <v>8203.2753105000011</v>
      </c>
    </row>
    <row r="24" spans="1:12" x14ac:dyDescent="0.2">
      <c r="A24" s="1" t="str">
        <f>'Part 1 - Portfolio'!A18</f>
        <v>YBP_SWAP14</v>
      </c>
      <c r="B24" s="1" cm="1">
        <f t="array" ref="B24">[1]!YBPRICE($A24,"0o",B$10,"Price","Swap",B$10,"Default","","",,"",,$B$7)/100*Portfolio!$B16</f>
        <v>-96981.264575999987</v>
      </c>
      <c r="C24" s="1" cm="1">
        <f t="array" ref="C24">[1]!YBPRICE($A24,"0o",C$10,"Price","Swap",C$10,"Default","","",,"",,$B$7)/100*Portfolio!$B16</f>
        <v>-73418.166158399996</v>
      </c>
      <c r="D24" s="1" cm="1">
        <f t="array" ref="D24">[1]!YBPRICE($A24,"0o",D$10,"Price","Swap",D$10,"Default","","",,"",,$B$7)/100*Portfolio!$B16</f>
        <v>-77970.055615199992</v>
      </c>
      <c r="E24" s="1" cm="1">
        <f t="array" ref="E24">[1]!YBPRICE($A24,"0o",E$10,"Price","Swap",E$10,"Default","","",,"",,$B$7)/100*Portfolio!$B16</f>
        <v>-81601.110007199997</v>
      </c>
      <c r="F24" s="1" cm="1">
        <f t="array" ref="F24">[1]!YBPRICE($A24,"0o",F$10,"Price","Swap",F$10,"Default","","",,"",,$B$7)/100*Portfolio!$B16</f>
        <v>-75941.901755999992</v>
      </c>
      <c r="G24" s="1" cm="1">
        <f t="array" ref="G24">[1]!YBPRICE($A24,"0o",G$10,"Price","Swap",G$10,"Default","","",,"",,$B$7)/100*Portfolio!$B16</f>
        <v>-72354.888597600002</v>
      </c>
      <c r="H24" s="1" cm="1">
        <f t="array" ref="H24">[1]!YBPRICE($A24,"0o",H$10,"Price","Swap",H$10,"Default","","",,"",,$B$7)/100*Portfolio!$B16</f>
        <v>-65845.485316800012</v>
      </c>
      <c r="I24" s="1" cm="1">
        <f t="array" ref="I24">[1]!YBPRICE($A24,"0o",I$10,"Price","Swap",I$10,"Default","","",,"",,$B$7)/100*Portfolio!$B16</f>
        <v>-80179.879449600005</v>
      </c>
      <c r="J24" s="1" cm="1">
        <f t="array" ref="J24">[1]!YBPRICE($A24,"0o",J$10,"Price","Swap",J$10,"Default","","",,"",,$B$7)/100*Portfolio!$B16</f>
        <v>-90997.806412799997</v>
      </c>
      <c r="K24" s="1" cm="1">
        <f t="array" ref="K24">[1]!YBPRICE($A24,"0o",K$10,"Price","Swap",K$10,"Default","","",,"",,$B$7)/100*Portfolio!$B16</f>
        <v>-92904.084302400006</v>
      </c>
      <c r="L24" s="1" cm="1">
        <f t="array" ref="L24">[1]!YBPRICE($A24,"0o",L$10,"Price","Swap",L$10,"Default","","",,"",,$B$7)/100*Portfolio!$B16</f>
        <v>-95272.228144799985</v>
      </c>
    </row>
    <row r="25" spans="1:12" x14ac:dyDescent="0.2">
      <c r="A25" s="1" t="str">
        <f>'Part 1 - Portfolio'!A19</f>
        <v>YBP_SWAP15</v>
      </c>
      <c r="B25" s="1" cm="1">
        <f t="array" ref="B25">[1]!YBPRICE($A25,"0o",B$10,"Price","Swap",B$10,"Default","","",,"",,$B$7)/100*Portfolio!$B17</f>
        <v>-1124413.2539855998</v>
      </c>
      <c r="C25" s="1" cm="1">
        <f t="array" ref="C25">[1]!YBPRICE($A25,"0o",C$10,"Price","Swap",C$10,"Default","","",,"",,$B$7)/100*Portfolio!$B17</f>
        <v>-997646.24695679988</v>
      </c>
      <c r="D25" s="1" cm="1">
        <f t="array" ref="D25">[1]!YBPRICE($A25,"0o",D$10,"Price","Swap",D$10,"Default","","",,"",,$B$7)/100*Portfolio!$B17</f>
        <v>-1027260.6464159999</v>
      </c>
      <c r="E25" s="1" cm="1">
        <f t="array" ref="E25">[1]!YBPRICE($A25,"0o",E$10,"Price","Swap",E$10,"Default","","",,"",,$B$7)/100*Portfolio!$B17</f>
        <v>-1064683.5553439998</v>
      </c>
      <c r="F25" s="1" cm="1">
        <f t="array" ref="F25">[1]!YBPRICE($A25,"0o",F$10,"Price","Swap",F$10,"Default","","",,"",,$B$7)/100*Portfolio!$B17</f>
        <v>-1024510.8449807998</v>
      </c>
      <c r="G25" s="1" cm="1">
        <f t="array" ref="G25">[1]!YBPRICE($A25,"0o",G$10,"Price","Swap",G$10,"Default","","",,"",,$B$7)/100*Portfolio!$B17</f>
        <v>-1009218.0078287999</v>
      </c>
      <c r="H25" s="1" cm="1">
        <f t="array" ref="H25">[1]!YBPRICE($A25,"0o",H$10,"Price","Swap",H$10,"Default","","",,"",,$B$7)/100*Portfolio!$B17</f>
        <v>-972013.5403055998</v>
      </c>
      <c r="I25" s="1" cm="1">
        <f t="array" ref="I25">[1]!YBPRICE($A25,"0o",I$10,"Price","Swap",I$10,"Default","","",,"",,$B$7)/100*Portfolio!$B17</f>
        <v>-1053619.7958432001</v>
      </c>
      <c r="J25" s="1" cm="1">
        <f t="array" ref="J25">[1]!YBPRICE($A25,"0o",J$10,"Price","Swap",J$10,"Default","","",,"",,$B$7)/100*Portfolio!$B17</f>
        <v>-1100133.8519183998</v>
      </c>
      <c r="K25" s="1" cm="1">
        <f t="array" ref="K25">[1]!YBPRICE($A25,"0o",K$10,"Price","Swap",K$10,"Default","","",,"",,$B$7)/100*Portfolio!$B17</f>
        <v>-1109196.0446112</v>
      </c>
      <c r="L25" s="1" cm="1">
        <f t="array" ref="L25">[1]!YBPRICE($A25,"0o",L$10,"Price","Swap",L$10,"Default","","",,"",,$B$7)/100*Portfolio!$B17</f>
        <v>-1113373.4939424</v>
      </c>
    </row>
    <row r="26" spans="1:12" x14ac:dyDescent="0.2">
      <c r="A26" s="1" t="str">
        <f>'Part 1 - Portfolio'!A20</f>
        <v>YBP_SWAP16</v>
      </c>
      <c r="B26" s="1" cm="1">
        <f t="array" ref="B26">[1]!YBPRICE($A26,"0o",B$10,"Price","Swap",B$10,"Default","","",,"",,$B$7)/100*Portfolio!$B18</f>
        <v>-508097.68691410002</v>
      </c>
      <c r="C26" s="1" cm="1">
        <f t="array" ref="C26">[1]!YBPRICE($A26,"0o",C$10,"Price","Swap",C$10,"Default","","",,"",,$B$7)/100*Portfolio!$B18</f>
        <v>-470143.00023269997</v>
      </c>
      <c r="D26" s="1" cm="1">
        <f t="array" ref="D26">[1]!YBPRICE($A26,"0o",D$10,"Price","Swap",D$10,"Default","","",,"",,$B$7)/100*Portfolio!$B18</f>
        <v>-483223.68729660002</v>
      </c>
      <c r="E26" s="1" cm="1">
        <f t="array" ref="E26">[1]!YBPRICE($A26,"0o",E$10,"Price","Swap",E$10,"Default","","",,"",,$B$7)/100*Portfolio!$B18</f>
        <v>-503723.8751217</v>
      </c>
      <c r="F26" s="1" cm="1">
        <f t="array" ref="F26">[1]!YBPRICE($A26,"0o",F$10,"Price","Swap",F$10,"Default","","",,"",,$B$7)/100*Portfolio!$B18</f>
        <v>-493179.04711470002</v>
      </c>
      <c r="G26" s="1" cm="1">
        <f t="array" ref="G26">[1]!YBPRICE($A26,"0o",G$10,"Price","Swap",G$10,"Default","","",,"",,$B$7)/100*Portfolio!$B18</f>
        <v>-489244.28258409997</v>
      </c>
      <c r="H26" s="1" cm="1">
        <f t="array" ref="H26">[1]!YBPRICE($A26,"0o",H$10,"Price","Swap",H$10,"Default","","",,"",,$B$7)/100*Portfolio!$B18</f>
        <v>-475019.59554989997</v>
      </c>
      <c r="I26" s="1" cm="1">
        <f t="array" ref="I26">[1]!YBPRICE($A26,"0o",I$10,"Price","Swap",I$10,"Default","","",,"",,$B$7)/100*Portfolio!$B18</f>
        <v>-514891.20787119999</v>
      </c>
      <c r="J26" s="1" cm="1">
        <f t="array" ref="J26">[1]!YBPRICE($A26,"0o",J$10,"Price","Swap",J$10,"Default","","",,"",,$B$7)/100*Portfolio!$B18</f>
        <v>-523540.26482789998</v>
      </c>
      <c r="K26" s="1" cm="1">
        <f t="array" ref="K26">[1]!YBPRICE($A26,"0o",K$10,"Price","Swap",K$10,"Default","","",,"",,$B$7)/100*Portfolio!$B18</f>
        <v>-525148.75832459994</v>
      </c>
      <c r="L26" s="1" cm="1">
        <f t="array" ref="L26">[1]!YBPRICE($A26,"0o",L$10,"Price","Swap",L$10,"Default","","",,"",,$B$7)/100*Portfolio!$B18</f>
        <v>-534713.42013089999</v>
      </c>
    </row>
    <row r="27" spans="1:12" x14ac:dyDescent="0.2">
      <c r="A27" s="1" t="str">
        <f>'Part 1 - Portfolio'!A21</f>
        <v>YBP_SWAP17</v>
      </c>
      <c r="B27" s="1" cm="1">
        <f t="array" ref="B27">[1]!YBPRICE($A27,"0o",B$10,"Price","Swap",B$10,"Default","","",,"",,$B$7)/100*Portfolio!$B19</f>
        <v>29903.462424599998</v>
      </c>
      <c r="C27" s="1" cm="1">
        <f t="array" ref="C27">[1]!YBPRICE($A27,"0o",C$10,"Price","Swap",C$10,"Default","","",,"",,$B$7)/100*Portfolio!$B19</f>
        <v>36780.016337300003</v>
      </c>
      <c r="D27" s="1" cm="1">
        <f t="array" ref="D27">[1]!YBPRICE($A27,"0o",D$10,"Price","Swap",D$10,"Default","","",,"",,$B$7)/100*Portfolio!$B19</f>
        <v>32394.2507205</v>
      </c>
      <c r="E27" s="1" cm="1">
        <f t="array" ref="E27">[1]!YBPRICE($A27,"0o",E$10,"Price","Swap",E$10,"Default","","",,"",,$B$7)/100*Portfolio!$B19</f>
        <v>30757.063312899998</v>
      </c>
      <c r="F27" s="1" cm="1">
        <f t="array" ref="F27">[1]!YBPRICE($A27,"0o",F$10,"Price","Swap",F$10,"Default","","",,"",,$B$7)/100*Portfolio!$B19</f>
        <v>28379.250023400004</v>
      </c>
      <c r="G27" s="1" cm="1">
        <f t="array" ref="G27">[1]!YBPRICE($A27,"0o",G$10,"Price","Swap",G$10,"Default","","",,"",,$B$7)/100*Portfolio!$B19</f>
        <v>24545.599678000002</v>
      </c>
      <c r="H27" s="1" cm="1">
        <f t="array" ref="H27">[1]!YBPRICE($A27,"0o",H$10,"Price","Swap",H$10,"Default","","",,"",,$B$7)/100*Portfolio!$B19</f>
        <v>17623.3499127</v>
      </c>
      <c r="I27" s="1" cm="1">
        <f t="array" ref="I27">[1]!YBPRICE($A27,"0o",I$10,"Price","Swap",I$10,"Default","","",,"",,$B$7)/100*Portfolio!$B19</f>
        <v>18121.486792299998</v>
      </c>
      <c r="J27" s="1" cm="1">
        <f t="array" ref="J27">[1]!YBPRICE($A27,"0o",J$10,"Price","Swap",J$10,"Default","","",,"",,$B$7)/100*Portfolio!$B19</f>
        <v>12424.3182201</v>
      </c>
      <c r="K27" s="1" cm="1">
        <f t="array" ref="K27">[1]!YBPRICE($A27,"0o",K$10,"Price","Swap",K$10,"Default","","",,"",,$B$7)/100*Portfolio!$B19</f>
        <v>6268.0797518000008</v>
      </c>
      <c r="L27" s="1" cm="1">
        <f t="array" ref="L27">[1]!YBPRICE($A27,"0o",L$10,"Price","Swap",L$10,"Default","","",,"",,$B$7)/100*Portfolio!$B19</f>
        <v>10381.486406600001</v>
      </c>
    </row>
    <row r="28" spans="1:12" x14ac:dyDescent="0.2">
      <c r="A28" s="1" t="str">
        <f>'Part 1 - Portfolio'!A22</f>
        <v>YBP_SWAP18</v>
      </c>
      <c r="B28" s="1" cm="1">
        <f t="array" ref="B28">[1]!YBPRICE($A28,"0o",B$10,"Price","Swap",B$10,"Default","","",,"",,$B$7)/100*Portfolio!$B20</f>
        <v>-1380852.1845217</v>
      </c>
      <c r="C28" s="1" cm="1">
        <f t="array" ref="C28">[1]!YBPRICE($A28,"0o",C$10,"Price","Swap",C$10,"Default","","",,"",,$B$7)/100*Portfolio!$B20</f>
        <v>-1233924.8457327001</v>
      </c>
      <c r="D28" s="1" cm="1">
        <f t="array" ref="D28">[1]!YBPRICE($A28,"0o",D$10,"Price","Swap",D$10,"Default","","",,"",,$B$7)/100*Portfolio!$B20</f>
        <v>-1285075.3935415</v>
      </c>
      <c r="E28" s="1" cm="1">
        <f t="array" ref="E28">[1]!YBPRICE($A28,"0o",E$10,"Price","Swap",E$10,"Default","","",,"",,$B$7)/100*Portfolio!$B20</f>
        <v>-1359441.1978301001</v>
      </c>
      <c r="F28" s="1" cm="1">
        <f t="array" ref="F28">[1]!YBPRICE($A28,"0o",F$10,"Price","Swap",F$10,"Default","","",,"",,$B$7)/100*Portfolio!$B20</f>
        <v>-1310528.6988706</v>
      </c>
      <c r="G28" s="1" cm="1">
        <f t="array" ref="G28">[1]!YBPRICE($A28,"0o",G$10,"Price","Swap",G$10,"Default","","",,"",,$B$7)/100*Portfolio!$B20</f>
        <v>-1298657.0348906</v>
      </c>
      <c r="H28" s="1" cm="1">
        <f t="array" ref="H28">[1]!YBPRICE($A28,"0o",H$10,"Price","Swap",H$10,"Default","","",,"",,$B$7)/100*Portfolio!$B20</f>
        <v>-1238245.1015989999</v>
      </c>
      <c r="I28" s="1" cm="1">
        <f t="array" ref="I28">[1]!YBPRICE($A28,"0o",I$10,"Price","Swap",I$10,"Default","","",,"",,$B$7)/100*Portfolio!$B20</f>
        <v>-1387167.7406070002</v>
      </c>
      <c r="J28" s="1" cm="1">
        <f t="array" ref="J28">[1]!YBPRICE($A28,"0o",J$10,"Price","Swap",J$10,"Default","","",,"",,$B$7)/100*Portfolio!$B20</f>
        <v>-1434791.6581966002</v>
      </c>
      <c r="K28" s="1" cm="1">
        <f t="array" ref="K28">[1]!YBPRICE($A28,"0o",K$10,"Price","Swap",K$10,"Default","","",,"",,$B$7)/100*Portfolio!$B20</f>
        <v>-1426599.7233312</v>
      </c>
      <c r="L28" s="1" cm="1">
        <f t="array" ref="L28">[1]!YBPRICE($A28,"0o",L$10,"Price","Swap",L$10,"Default","","",,"",,$B$7)/100*Portfolio!$B20</f>
        <v>-1466522.8545714999</v>
      </c>
    </row>
    <row r="29" spans="1:12" x14ac:dyDescent="0.2">
      <c r="A29" s="1" t="str">
        <f>'Part 1 - Portfolio'!A23</f>
        <v>YBP_SWAP19</v>
      </c>
      <c r="B29" s="1" cm="1">
        <f t="array" ref="B29">[1]!YBPRICE($A29,"0o",B$10,"Price","Swap",B$10,"Default","","",,"",,$B$7)/100*Portfolio!$B21</f>
        <v>9605.7942739999999</v>
      </c>
      <c r="C29" s="1" cm="1">
        <f t="array" ref="C29">[1]!YBPRICE($A29,"0o",C$10,"Price","Swap",C$10,"Default","","",,"",,$B$7)/100*Portfolio!$B21</f>
        <v>6549.4486259999994</v>
      </c>
      <c r="D29" s="1" cm="1">
        <f t="array" ref="D29">[1]!YBPRICE($A29,"0o",D$10,"Price","Swap",D$10,"Default","","",,"",,$B$7)/100*Portfolio!$B21</f>
        <v>5956.6691219999993</v>
      </c>
      <c r="E29" s="1" cm="1">
        <f t="array" ref="E29">[1]!YBPRICE($A29,"0o",E$10,"Price","Swap",E$10,"Default","","",,"",,$B$7)/100*Portfolio!$B21</f>
        <v>3987.2052799999997</v>
      </c>
      <c r="F29" s="1" cm="1">
        <f t="array" ref="F29">[1]!YBPRICE($A29,"0o",F$10,"Price","Swap",F$10,"Default","","",,"",,$B$7)/100*Portfolio!$B21</f>
        <v>5788.0970919999991</v>
      </c>
      <c r="G29" s="1" cm="1">
        <f t="array" ref="G29">[1]!YBPRICE($A29,"0o",G$10,"Price","Swap",G$10,"Default","","",,"",,$B$7)/100*Portfolio!$B21</f>
        <v>5288.0982079999994</v>
      </c>
      <c r="H29" s="1" cm="1">
        <f t="array" ref="H29">[1]!YBPRICE($A29,"0o",H$10,"Price","Swap",H$10,"Default","","",,"",,$B$7)/100*Portfolio!$B21</f>
        <v>6523.4683959999993</v>
      </c>
      <c r="I29" s="1" cm="1">
        <f t="array" ref="I29">[1]!YBPRICE($A29,"0o",I$10,"Price","Swap",I$10,"Default","","",,"",,$B$7)/100*Portfolio!$B21</f>
        <v>6672.4452139999994</v>
      </c>
      <c r="J29" s="1" cm="1">
        <f t="array" ref="J29">[1]!YBPRICE($A29,"0o",J$10,"Price","Swap",J$10,"Default","","",,"",,$B$7)/100*Portfolio!$B21</f>
        <v>6660.8538479999988</v>
      </c>
      <c r="K29" s="1" cm="1">
        <f t="array" ref="K29">[1]!YBPRICE($A29,"0o",K$10,"Price","Swap",K$10,"Default","","",,"",,$B$7)/100*Portfolio!$B21</f>
        <v>6721.3271939999995</v>
      </c>
      <c r="L29" s="1" cm="1">
        <f t="array" ref="L29">[1]!YBPRICE($A29,"0o",L$10,"Price","Swap",L$10,"Default","","",,"",,$B$7)/100*Portfolio!$B21</f>
        <v>6613.016208</v>
      </c>
    </row>
    <row r="30" spans="1:12" x14ac:dyDescent="0.2">
      <c r="A30" s="1" t="str">
        <f>'Part 1 - Portfolio'!A24</f>
        <v>YBP_SWAP20</v>
      </c>
      <c r="B30" s="1" cm="1">
        <f t="array" ref="B30">[1]!YBPRICE($A30,"0o",B$10,"Price","Swap",B$10,"Default","","",,"",,$B$7)/100*Portfolio!$B22</f>
        <v>-636910.06740529998</v>
      </c>
      <c r="C30" s="1" cm="1">
        <f t="array" ref="C30">[1]!YBPRICE($A30,"0o",C$10,"Price","Swap",C$10,"Default","","",,"",,$B$7)/100*Portfolio!$B22</f>
        <v>-775138.84628439997</v>
      </c>
      <c r="D30" s="1" cm="1">
        <f t="array" ref="D30">[1]!YBPRICE($A30,"0o",D$10,"Price","Swap",D$10,"Default","","",,"",,$B$7)/100*Portfolio!$B22</f>
        <v>-736137.77839550003</v>
      </c>
      <c r="E30" s="1" cm="1">
        <f t="array" ref="E30">[1]!YBPRICE($A30,"0o",E$10,"Price","Swap",E$10,"Default","","",,"",,$B$7)/100*Portfolio!$B22</f>
        <v>-699489.39632389997</v>
      </c>
      <c r="F30" s="1" cm="1">
        <f t="array" ref="F30">[1]!YBPRICE($A30,"0o",F$10,"Price","Swap",F$10,"Default","","",,"",,$B$7)/100*Portfolio!$B22</f>
        <v>-729116.94198849995</v>
      </c>
      <c r="G30" s="1" cm="1">
        <f t="array" ref="G30">[1]!YBPRICE($A30,"0o",G$10,"Price","Swap",G$10,"Default","","",,"",,$B$7)/100*Portfolio!$B22</f>
        <v>-740167.24457129987</v>
      </c>
      <c r="H30" s="1" cm="1">
        <f t="array" ref="H30">[1]!YBPRICE($A30,"0o",H$10,"Price","Swap",H$10,"Default","","",,"",,$B$7)/100*Portfolio!$B22</f>
        <v>-774612.94214199996</v>
      </c>
      <c r="I30" s="1" cm="1">
        <f t="array" ref="I30">[1]!YBPRICE($A30,"0o",I$10,"Price","Swap",I$10,"Default","","",,"",,$B$7)/100*Portfolio!$B22</f>
        <v>-669933.87599840004</v>
      </c>
      <c r="J30" s="1" cm="1">
        <f t="array" ref="J30">[1]!YBPRICE($A30,"0o",J$10,"Price","Swap",J$10,"Default","","",,"",,$B$7)/100*Portfolio!$B22</f>
        <v>-593642.35765899997</v>
      </c>
      <c r="K30" s="1" cm="1">
        <f t="array" ref="K30">[1]!YBPRICE($A30,"0o",K$10,"Price","Swap",K$10,"Default","","",,"",,$B$7)/100*Portfolio!$B22</f>
        <v>-574030.95259900007</v>
      </c>
      <c r="L30" s="1" cm="1">
        <f t="array" ref="L30">[1]!YBPRICE($A30,"0o",L$10,"Price","Swap",L$10,"Default","","",,"",,$B$7)/100*Portfolio!$B22</f>
        <v>-548577.24248080002</v>
      </c>
    </row>
    <row r="31" spans="1:12" x14ac:dyDescent="0.2">
      <c r="A31" s="1" t="str">
        <f>'Part 1 - Portfolio'!A25</f>
        <v>YBP_SWAP21</v>
      </c>
      <c r="B31" s="1" cm="1">
        <f t="array" ref="B31">[1]!YBPRICE($A31,"0o",B$10,"Price","Swap",B$10,"Default","","",,"",,$B$7)/100*Portfolio!$B23</f>
        <v>735456.37184339995</v>
      </c>
      <c r="C31" s="1" cm="1">
        <f t="array" ref="C31">[1]!YBPRICE($A31,"0o",C$10,"Price","Swap",C$10,"Default","","",,"",,$B$7)/100*Portfolio!$B23</f>
        <v>664489.55283840001</v>
      </c>
      <c r="D31" s="1" cm="1">
        <f t="array" ref="D31">[1]!YBPRICE($A31,"0o",D$10,"Price","Swap",D$10,"Default","","",,"",,$B$7)/100*Portfolio!$B23</f>
        <v>666008.57018220006</v>
      </c>
      <c r="E31" s="1" cm="1">
        <f t="array" ref="E31">[1]!YBPRICE($A31,"0o",E$10,"Price","Swap",E$10,"Default","","",,"",,$B$7)/100*Portfolio!$B23</f>
        <v>653145.05859479995</v>
      </c>
      <c r="F31" s="1" cm="1">
        <f t="array" ref="F31">[1]!YBPRICE($A31,"0o",F$10,"Price","Swap",F$10,"Default","","",,"",,$B$7)/100*Portfolio!$B23</f>
        <v>632637.03377099999</v>
      </c>
      <c r="G31" s="1" cm="1">
        <f t="array" ref="G31">[1]!YBPRICE($A31,"0o",G$10,"Price","Swap",G$10,"Default","","",,"",,$B$7)/100*Portfolio!$B23</f>
        <v>617408.19229619997</v>
      </c>
      <c r="H31" s="1" cm="1">
        <f t="array" ref="H31">[1]!YBPRICE($A31,"0o",H$10,"Price","Swap",H$10,"Default","","",,"",,$B$7)/100*Portfolio!$B23</f>
        <v>594550.95341160009</v>
      </c>
      <c r="I31" s="1" cm="1">
        <f t="array" ref="I31">[1]!YBPRICE($A31,"0o",I$10,"Price","Swap",I$10,"Default","","",,"",,$B$7)/100*Portfolio!$B23</f>
        <v>615656.39853899996</v>
      </c>
      <c r="J31" s="1" cm="1">
        <f t="array" ref="J31">[1]!YBPRICE($A31,"0o",J$10,"Price","Swap",J$10,"Default","","",,"",,$B$7)/100*Portfolio!$B23</f>
        <v>649591.22447279992</v>
      </c>
      <c r="K31" s="1" cm="1">
        <f t="array" ref="K31">[1]!YBPRICE($A31,"0o",K$10,"Price","Swap",K$10,"Default","","",,"",,$B$7)/100*Portfolio!$B23</f>
        <v>647922.88043459994</v>
      </c>
      <c r="L31" s="1" cm="1">
        <f t="array" ref="L31">[1]!YBPRICE($A31,"0o",L$10,"Price","Swap",L$10,"Default","","",,"",,$B$7)/100*Portfolio!$B23</f>
        <v>645162.75090780004</v>
      </c>
    </row>
    <row r="32" spans="1:12" x14ac:dyDescent="0.2">
      <c r="A32" s="1" t="str">
        <f>'Part 1 - Portfolio'!A26</f>
        <v>YBP_SWAP22</v>
      </c>
      <c r="B32" s="1" cm="1">
        <f t="array" ref="B32">[1]!YBPRICE($A32,"0o",B$10,"Price","Swap",B$10,"Default","","",,"",,$B$7)/100*Portfolio!$B24</f>
        <v>-388186.50596639997</v>
      </c>
      <c r="C32" s="1" cm="1">
        <f t="array" ref="C32">[1]!YBPRICE($A32,"0o",C$10,"Price","Swap",C$10,"Default","","",,"",,$B$7)/100*Portfolio!$B24</f>
        <v>-483969.15466959996</v>
      </c>
      <c r="D32" s="1" cm="1">
        <f t="array" ref="D32">[1]!YBPRICE($A32,"0o",D$10,"Price","Swap",D$10,"Default","","",,"",,$B$7)/100*Portfolio!$B24</f>
        <v>-464111.38427439996</v>
      </c>
      <c r="E32" s="1" cm="1">
        <f t="array" ref="E32">[1]!YBPRICE($A32,"0o",E$10,"Price","Swap",E$10,"Default","","",,"",,$B$7)/100*Portfolio!$B24</f>
        <v>-460826.8989032</v>
      </c>
      <c r="F32" s="1" cm="1">
        <f t="array" ref="F32">[1]!YBPRICE($A32,"0o",F$10,"Price","Swap",F$10,"Default","","",,"",,$B$7)/100*Portfolio!$B24</f>
        <v>-475974.8605064</v>
      </c>
      <c r="G32" s="1" cm="1">
        <f t="array" ref="G32">[1]!YBPRICE($A32,"0o",G$10,"Price","Swap",G$10,"Default","","",,"",,$B$7)/100*Portfolio!$B24</f>
        <v>-485940.30664879997</v>
      </c>
      <c r="H32" s="1" cm="1">
        <f t="array" ref="H32">[1]!YBPRICE($A32,"0o",H$10,"Price","Swap",H$10,"Default","","",,"",,$B$7)/100*Portfolio!$B24</f>
        <v>-504246.24962879997</v>
      </c>
      <c r="I32" s="1" cm="1">
        <f t="array" ref="I32">[1]!YBPRICE($A32,"0o",I$10,"Price","Swap",I$10,"Default","","",,"",,$B$7)/100*Portfolio!$B24</f>
        <v>-452480.29049119999</v>
      </c>
      <c r="J32" s="1" cm="1">
        <f t="array" ref="J32">[1]!YBPRICE($A32,"0o",J$10,"Price","Swap",J$10,"Default","","",,"",,$B$7)/100*Portfolio!$B24</f>
        <v>-390793.20094960002</v>
      </c>
      <c r="K32" s="1" cm="1">
        <f t="array" ref="K32">[1]!YBPRICE($A32,"0o",K$10,"Price","Swap",K$10,"Default","","",,"",,$B$7)/100*Portfolio!$B24</f>
        <v>-375681.88695599994</v>
      </c>
      <c r="L32" s="1" cm="1">
        <f t="array" ref="L32">[1]!YBPRICE($A32,"0o",L$10,"Price","Swap",L$10,"Default","","",,"",,$B$7)/100*Portfolio!$B24</f>
        <v>-364061.17520639999</v>
      </c>
    </row>
    <row r="33" spans="1:12" x14ac:dyDescent="0.2">
      <c r="A33" s="1" t="str">
        <f>'Part 1 - Portfolio'!A27</f>
        <v>YBP_SWAP23</v>
      </c>
      <c r="B33" s="1" cm="1">
        <f t="array" ref="B33">[1]!YBPRICE($A33,"0o",B$10,"Price","Swap",B$10,"Default","","",,"",,$B$7)/100*Portfolio!$B25</f>
        <v>-38844.989523299992</v>
      </c>
      <c r="C33" s="1" cm="1">
        <f t="array" ref="C33">[1]!YBPRICE($A33,"0o",C$10,"Price","Swap",C$10,"Default","","",,"",,$B$7)/100*Portfolio!$B25</f>
        <v>-179138.05646249998</v>
      </c>
      <c r="D33" s="1" cm="1">
        <f t="array" ref="D33">[1]!YBPRICE($A33,"0o",D$10,"Price","Swap",D$10,"Default","","",,"",,$B$7)/100*Portfolio!$B25</f>
        <v>-141638.48095109998</v>
      </c>
      <c r="E33" s="1" cm="1">
        <f t="array" ref="E33">[1]!YBPRICE($A33,"0o",E$10,"Price","Swap",E$10,"Default","","",,"",,$B$7)/100*Portfolio!$B25</f>
        <v>-101038.69124279999</v>
      </c>
      <c r="F33" s="1" cm="1">
        <f t="array" ref="F33">[1]!YBPRICE($A33,"0o",F$10,"Price","Swap",F$10,"Default","","",,"",,$B$7)/100*Portfolio!$B25</f>
        <v>-132770.3205648</v>
      </c>
      <c r="G33" s="1" cm="1">
        <f t="array" ref="G33">[1]!YBPRICE($A33,"0o",G$10,"Price","Swap",G$10,"Default","","",,"",,$B$7)/100*Portfolio!$B25</f>
        <v>-147059.6409345</v>
      </c>
      <c r="H33" s="1" cm="1">
        <f t="array" ref="H33">[1]!YBPRICE($A33,"0o",H$10,"Price","Swap",H$10,"Default","","",,"",,$B$7)/100*Portfolio!$B25</f>
        <v>-184825.70597459999</v>
      </c>
      <c r="I33" s="1" cm="1">
        <f t="array" ref="I33">[1]!YBPRICE($A33,"0o",I$10,"Price","Swap",I$10,"Default","","",,"",,$B$7)/100*Portfolio!$B25</f>
        <v>-79697.325165599977</v>
      </c>
      <c r="J33" s="1" cm="1">
        <f t="array" ref="J33">[1]!YBPRICE($A33,"0o",J$10,"Price","Swap",J$10,"Default","","",,"",,$B$7)/100*Portfolio!$B25</f>
        <v>-13405.063031099999</v>
      </c>
      <c r="K33" s="1" cm="1">
        <f t="array" ref="K33">[1]!YBPRICE($A33,"0o",K$10,"Price","Swap",K$10,"Default","","",,"",,$B$7)/100*Portfolio!$B25</f>
        <v>2004.5302409999995</v>
      </c>
      <c r="L33" s="1" cm="1">
        <f t="array" ref="L33">[1]!YBPRICE($A33,"0o",L$10,"Price","Swap",L$10,"Default","","",,"",,$B$7)/100*Portfolio!$B25</f>
        <v>25303.700479499996</v>
      </c>
    </row>
    <row r="34" spans="1:12" x14ac:dyDescent="0.2">
      <c r="A34" s="1" t="str">
        <f>'Part 1 - Portfolio'!A28</f>
        <v>YBP_SWAP24</v>
      </c>
      <c r="B34" s="1" cm="1">
        <f t="array" ref="B34">[1]!YBPRICE($A34,"0o",B$10,"Price","Swap",B$10,"Default","","",,"",,$B$7)/100*Portfolio!$B26</f>
        <v>18057.660045699999</v>
      </c>
      <c r="C34" s="1" cm="1">
        <f t="array" ref="C34">[1]!YBPRICE($A34,"0o",C$10,"Price","Swap",C$10,"Default","","",,"",,$B$7)/100*Portfolio!$B26</f>
        <v>15254.798623899998</v>
      </c>
      <c r="D34" s="1" cm="1">
        <f t="array" ref="D34">[1]!YBPRICE($A34,"0o",D$10,"Price","Swap",D$10,"Default","","",,"",,$B$7)/100*Portfolio!$B26</f>
        <v>14843.5424621</v>
      </c>
      <c r="E34" s="1" cm="1">
        <f t="array" ref="E34">[1]!YBPRICE($A34,"0o",E$10,"Price","Swap",E$10,"Default","","",,"",,$B$7)/100*Portfolio!$B26</f>
        <v>12921.7228536</v>
      </c>
      <c r="F34" s="1" cm="1">
        <f t="array" ref="F34">[1]!YBPRICE($A34,"0o",F$10,"Price","Swap",F$10,"Default","","",,"",,$B$7)/100*Portfolio!$B26</f>
        <v>12586.4563187</v>
      </c>
      <c r="G34" s="1" cm="1">
        <f t="array" ref="G34">[1]!YBPRICE($A34,"0o",G$10,"Price","Swap",G$10,"Default","","",,"",,$B$7)/100*Portfolio!$B26</f>
        <v>12057.578215100002</v>
      </c>
      <c r="H34" s="1" cm="1">
        <f t="array" ref="H34">[1]!YBPRICE($A34,"0o",H$10,"Price","Swap",H$10,"Default","","",,"",,$B$7)/100*Portfolio!$B26</f>
        <v>11611.658555200002</v>
      </c>
      <c r="I34" s="1" cm="1">
        <f t="array" ref="I34">[1]!YBPRICE($A34,"0o",I$10,"Price","Swap",I$10,"Default","","",,"",,$B$7)/100*Portfolio!$B26</f>
        <v>11495.9737706</v>
      </c>
      <c r="J34" s="1" cm="1">
        <f t="array" ref="J34">[1]!YBPRICE($A34,"0o",J$10,"Price","Swap",J$10,"Default","","",,"",,$B$7)/100*Portfolio!$B26</f>
        <v>13163.3774756</v>
      </c>
      <c r="K34" s="1" cm="1">
        <f t="array" ref="K34">[1]!YBPRICE($A34,"0o",K$10,"Price","Swap",K$10,"Default","","",,"",,$B$7)/100*Portfolio!$B26</f>
        <v>12714.5405618</v>
      </c>
      <c r="L34" s="1" cm="1">
        <f t="array" ref="L34">[1]!YBPRICE($A34,"0o",L$10,"Price","Swap",L$10,"Default","","",,"",,$B$7)/100*Portfolio!$B26</f>
        <v>12754.834375800001</v>
      </c>
    </row>
    <row r="35" spans="1:12" x14ac:dyDescent="0.2">
      <c r="A35" s="1" t="str">
        <f>'Part 1 - Portfolio'!A29</f>
        <v>YBP_SWAP25</v>
      </c>
      <c r="B35" s="1" cm="1">
        <f t="array" ref="B35">[1]!YBPRICE($A35,"0o",B$10,"Price","Swap",B$10,"Default","","",,"",,$B$7)/100*Portfolio!$B27</f>
        <v>1057899.8579695001</v>
      </c>
      <c r="C35" s="1" cm="1">
        <f t="array" ref="C35">[1]!YBPRICE($A35,"0o",C$10,"Price","Swap",C$10,"Default","","",,"",,$B$7)/100*Portfolio!$B27</f>
        <v>937327.92026899988</v>
      </c>
      <c r="D35" s="1" cm="1">
        <f t="array" ref="D35">[1]!YBPRICE($A35,"0o",D$10,"Price","Swap",D$10,"Default","","",,"",,$B$7)/100*Portfolio!$B27</f>
        <v>945246.32374250004</v>
      </c>
      <c r="E35" s="1" cm="1">
        <f t="array" ref="E35">[1]!YBPRICE($A35,"0o",E$10,"Price","Swap",E$10,"Default","","",,"",,$B$7)/100*Portfolio!$B27</f>
        <v>933756.31088349991</v>
      </c>
      <c r="F35" s="1" cm="1">
        <f t="array" ref="F35">[1]!YBPRICE($A35,"0o",F$10,"Price","Swap",F$10,"Default","","",,"",,$B$7)/100*Portfolio!$B27</f>
        <v>900656.55055349984</v>
      </c>
      <c r="G35" s="1" cm="1">
        <f t="array" ref="G35">[1]!YBPRICE($A35,"0o",G$10,"Price","Swap",G$10,"Default","","",,"",,$B$7)/100*Portfolio!$B27</f>
        <v>876377.49282200017</v>
      </c>
      <c r="H35" s="1" cm="1">
        <f t="array" ref="H35">[1]!YBPRICE($A35,"0o",H$10,"Price","Swap",H$10,"Default","","",,"",,$B$7)/100*Portfolio!$B27</f>
        <v>838680.43719199998</v>
      </c>
      <c r="I35" s="1" cm="1">
        <f t="array" ref="I35">[1]!YBPRICE($A35,"0o",I$10,"Price","Swap",I$10,"Default","","",,"",,$B$7)/100*Portfolio!$B27</f>
        <v>884568.47033100005</v>
      </c>
      <c r="J35" s="1" cm="1">
        <f t="array" ref="J35">[1]!YBPRICE($A35,"0o",J$10,"Price","Swap",J$10,"Default","","",,"",,$B$7)/100*Portfolio!$B27</f>
        <v>942117.14058150002</v>
      </c>
      <c r="K35" s="1" cm="1">
        <f t="array" ref="K35">[1]!YBPRICE($A35,"0o",K$10,"Price","Swap",K$10,"Default","","",,"",,$B$7)/100*Portfolio!$B27</f>
        <v>943002.66357700003</v>
      </c>
      <c r="L35" s="1" cm="1">
        <f t="array" ref="L35">[1]!YBPRICE($A35,"0o",L$10,"Price","Swap",L$10,"Default","","",,"",,$B$7)/100*Portfolio!$B27</f>
        <v>943397.75616450002</v>
      </c>
    </row>
    <row r="36" spans="1:12" x14ac:dyDescent="0.2">
      <c r="A36" s="1" t="str">
        <f>'Part 1 - Portfolio'!A30</f>
        <v>YBP_SWAP26</v>
      </c>
      <c r="B36" s="1" cm="1">
        <f t="array" ref="B36">[1]!YBPRICE($A36,"0o",B$10,"Price","Swap",B$10,"Default","","",,"",,$B$7)/100*Portfolio!$B28</f>
        <v>19632.718706499996</v>
      </c>
      <c r="C36" s="1" cm="1">
        <f t="array" ref="C36">[1]!YBPRICE($A36,"0o",C$10,"Price","Swap",C$10,"Default","","",,"",,$B$7)/100*Portfolio!$B28</f>
        <v>-19091.438927499996</v>
      </c>
      <c r="D36" s="1" cm="1">
        <f t="array" ref="D36">[1]!YBPRICE($A36,"0o",D$10,"Price","Swap",D$10,"Default","","",,"",,$B$7)/100*Portfolio!$B28</f>
        <v>-15082.179935499998</v>
      </c>
      <c r="E36" s="1" cm="1">
        <f t="array" ref="E36">[1]!YBPRICE($A36,"0o",E$10,"Price","Swap",E$10,"Default","","",,"",,$B$7)/100*Portfolio!$B28</f>
        <v>-26372.886024499996</v>
      </c>
      <c r="F36" s="1" cm="1">
        <f t="array" ref="F36">[1]!YBPRICE($A36,"0o",F$10,"Price","Swap",F$10,"Default","","",,"",,$B$7)/100*Portfolio!$B28</f>
        <v>-31541.072205499997</v>
      </c>
      <c r="G36" s="1" cm="1">
        <f t="array" ref="G36">[1]!YBPRICE($A36,"0o",G$10,"Price","Swap",G$10,"Default","","",,"",,$B$7)/100*Portfolio!$B28</f>
        <v>-35915.63058099999</v>
      </c>
      <c r="H36" s="1" cm="1">
        <f t="array" ref="H36">[1]!YBPRICE($A36,"0o",H$10,"Price","Swap",H$10,"Default","","",,"",,$B$7)/100*Portfolio!$B28</f>
        <v>-43611.183345499994</v>
      </c>
      <c r="I36" s="1" cm="1">
        <f t="array" ref="I36">[1]!YBPRICE($A36,"0o",I$10,"Price","Swap",I$10,"Default","","",,"",,$B$7)/100*Portfolio!$B28</f>
        <v>-32393.619659499996</v>
      </c>
      <c r="J36" s="1" cm="1">
        <f t="array" ref="J36">[1]!YBPRICE($A36,"0o",J$10,"Price","Swap",J$10,"Default","","",,"",,$B$7)/100*Portfolio!$B28</f>
        <v>-4525.8282709999994</v>
      </c>
      <c r="K36" s="1" cm="1">
        <f t="array" ref="K36">[1]!YBPRICE($A36,"0o",K$10,"Price","Swap",K$10,"Default","","",,"",,$B$7)/100*Portfolio!$B28</f>
        <v>-2041.1854649999996</v>
      </c>
      <c r="L36" s="1" cm="1">
        <f t="array" ref="L36">[1]!YBPRICE($A36,"0o",L$10,"Price","Swap",L$10,"Default","","",,"",,$B$7)/100*Portfolio!$B28</f>
        <v>695.10365699999988</v>
      </c>
    </row>
    <row r="37" spans="1:12" x14ac:dyDescent="0.2">
      <c r="A37" s="1" t="str">
        <f>'Part 1 - Portfolio'!A31</f>
        <v>YBP_SWAP27</v>
      </c>
      <c r="B37" s="1" cm="1">
        <f t="array" ref="B37">[1]!YBPRICE($A37,"0o",B$10,"Price","Swap",B$10,"Default","","",,"",,$B$7)/100*Portfolio!$B29</f>
        <v>710705.65605280001</v>
      </c>
      <c r="C37" s="1" cm="1">
        <f t="array" ref="C37">[1]!YBPRICE($A37,"0o",C$10,"Price","Swap",C$10,"Default","","",,"",,$B$7)/100*Portfolio!$B29</f>
        <v>654784.81355840003</v>
      </c>
      <c r="D37" s="1" cm="1">
        <f t="array" ref="D37">[1]!YBPRICE($A37,"0o",D$10,"Price","Swap",D$10,"Default","","",,"",,$B$7)/100*Portfolio!$B29</f>
        <v>646107.78913280007</v>
      </c>
      <c r="E37" s="1" cm="1">
        <f t="array" ref="E37">[1]!YBPRICE($A37,"0o",E$10,"Price","Swap",E$10,"Default","","",,"",,$B$7)/100*Portfolio!$B29</f>
        <v>620035.42977599998</v>
      </c>
      <c r="F37" s="1" cm="1">
        <f t="array" ref="F37">[1]!YBPRICE($A37,"0o",F$10,"Price","Swap",F$10,"Default","","",,"",,$B$7)/100*Portfolio!$B29</f>
        <v>603971.13168959995</v>
      </c>
      <c r="G37" s="1" cm="1">
        <f t="array" ref="G37">[1]!YBPRICE($A37,"0o",G$10,"Price","Swap",G$10,"Default","","",,"",,$B$7)/100*Portfolio!$B29</f>
        <v>588358.22740159999</v>
      </c>
      <c r="H37" s="1" cm="1">
        <f t="array" ref="H37">[1]!YBPRICE($A37,"0o",H$10,"Price","Swap",H$10,"Default","","",,"",,$B$7)/100*Portfolio!$B29</f>
        <v>571375.3677984</v>
      </c>
      <c r="I37" s="1" cm="1">
        <f t="array" ref="I37">[1]!YBPRICE($A37,"0o",I$10,"Price","Swap",I$10,"Default","","",,"",,$B$7)/100*Portfolio!$B29</f>
        <v>573566.05640160013</v>
      </c>
      <c r="J37" s="1" cm="1">
        <f t="array" ref="J37">[1]!YBPRICE($A37,"0o",J$10,"Price","Swap",J$10,"Default","","",,"",,$B$7)/100*Portfolio!$B29</f>
        <v>597692.32283359999</v>
      </c>
      <c r="K37" s="1" cm="1">
        <f t="array" ref="K37">[1]!YBPRICE($A37,"0o",K$10,"Price","Swap",K$10,"Default","","",,"",,$B$7)/100*Portfolio!$B29</f>
        <v>591370.80165119993</v>
      </c>
      <c r="L37" s="1" cm="1">
        <f t="array" ref="L37">[1]!YBPRICE($A37,"0o",L$10,"Price","Swap",L$10,"Default","","",,"",,$B$7)/100*Portfolio!$B29</f>
        <v>583998.69631360006</v>
      </c>
    </row>
    <row r="38" spans="1:12" x14ac:dyDescent="0.2">
      <c r="A38" s="1" t="str">
        <f>'Part 1 - Portfolio'!A32</f>
        <v>YBP_SWAP28</v>
      </c>
      <c r="B38" s="1" cm="1">
        <f t="array" ref="B38">[1]!YBPRICE($A38,"0o",B$10,"Price","Swap",B$10,"Default","","",,"",,$B$7)/100*Portfolio!$B30</f>
        <v>588599.94717250008</v>
      </c>
      <c r="C38" s="1" cm="1">
        <f t="array" ref="C38">[1]!YBPRICE($A38,"0o",C$10,"Price","Swap",C$10,"Default","","",,"",,$B$7)/100*Portfolio!$B30</f>
        <v>524091.10417799995</v>
      </c>
      <c r="D38" s="1" cm="1">
        <f t="array" ref="D38">[1]!YBPRICE($A38,"0o",D$10,"Price","Swap",D$10,"Default","","",,"",,$B$7)/100*Portfolio!$B30</f>
        <v>537313.77531609999</v>
      </c>
      <c r="E38" s="1" cm="1">
        <f t="array" ref="E38">[1]!YBPRICE($A38,"0o",E$10,"Price","Swap",E$10,"Default","","",,"",,$B$7)/100*Portfolio!$B30</f>
        <v>552804.4022902</v>
      </c>
      <c r="F38" s="1" cm="1">
        <f t="array" ref="F38">[1]!YBPRICE($A38,"0o",F$10,"Price","Swap",F$10,"Default","","",,"",,$B$7)/100*Portfolio!$B30</f>
        <v>534438.46595960006</v>
      </c>
      <c r="G38" s="1" cm="1">
        <f t="array" ref="G38">[1]!YBPRICE($A38,"0o",G$10,"Price","Swap",G$10,"Default","","",,"",,$B$7)/100*Portfolio!$B30</f>
        <v>525036.43349870003</v>
      </c>
      <c r="H38" s="1" cm="1">
        <f t="array" ref="H38">[1]!YBPRICE($A38,"0o",H$10,"Price","Swap",H$10,"Default","","",,"",,$B$7)/100*Portfolio!$B30</f>
        <v>503810.46665019996</v>
      </c>
      <c r="I38" s="1" cm="1">
        <f t="array" ref="I38">[1]!YBPRICE($A38,"0o",I$10,"Price","Swap",I$10,"Default","","",,"",,$B$7)/100*Portfolio!$B30</f>
        <v>547089.86212579999</v>
      </c>
      <c r="J38" s="1" cm="1">
        <f t="array" ref="J38">[1]!YBPRICE($A38,"0o",J$10,"Price","Swap",J$10,"Default","","",,"",,$B$7)/100*Portfolio!$B30</f>
        <v>571719.79974769999</v>
      </c>
      <c r="K38" s="1" cm="1">
        <f t="array" ref="K38">[1]!YBPRICE($A38,"0o",K$10,"Price","Swap",K$10,"Default","","",,"",,$B$7)/100*Portfolio!$B30</f>
        <v>574126.72986019996</v>
      </c>
      <c r="L38" s="1" cm="1">
        <f t="array" ref="L38">[1]!YBPRICE($A38,"0o",L$10,"Price","Swap",L$10,"Default","","",,"",,$B$7)/100*Portfolio!$B30</f>
        <v>581182.39515770006</v>
      </c>
    </row>
    <row r="39" spans="1:12" x14ac:dyDescent="0.2">
      <c r="A39" s="1" t="str">
        <f>'Part 1 - Portfolio'!A33</f>
        <v>YBP_SWAP29</v>
      </c>
      <c r="B39" s="1" cm="1">
        <f t="array" ref="B39">[1]!YBPRICE($A39,"0o",B$10,"Price","Swap",B$10,"Default","","",,"",,$B$7)/100*Portfolio!$B31</f>
        <v>7576.4269050000003</v>
      </c>
      <c r="C39" s="1" cm="1">
        <f t="array" ref="C39">[1]!YBPRICE($A39,"0o",C$10,"Price","Swap",C$10,"Default","","",,"",,$B$7)/100*Portfolio!$B31</f>
        <v>7288.1330277000006</v>
      </c>
      <c r="D39" s="1" cm="1">
        <f t="array" ref="D39">[1]!YBPRICE($A39,"0o",D$10,"Price","Swap",D$10,"Default","","",,"",,$B$7)/100*Portfolio!$B31</f>
        <v>7146.7709034</v>
      </c>
      <c r="E39" s="1" cm="1">
        <f t="array" ref="E39">[1]!YBPRICE($A39,"0o",E$10,"Price","Swap",E$10,"Default","","",,"",,$B$7)/100*Portfolio!$B31</f>
        <v>7345.9648142999995</v>
      </c>
      <c r="F39" s="1" cm="1">
        <f t="array" ref="F39">[1]!YBPRICE($A39,"0o",F$10,"Price","Swap",F$10,"Default","","",,"",,$B$7)/100*Portfolio!$B31</f>
        <v>7188.2988618000009</v>
      </c>
      <c r="G39" s="1" cm="1">
        <f t="array" ref="G39">[1]!YBPRICE($A39,"0o",G$10,"Price","Swap",G$10,"Default","","",,"",,$B$7)/100*Portfolio!$B31</f>
        <v>7060.4903777999998</v>
      </c>
      <c r="H39" s="1" cm="1">
        <f t="array" ref="H39">[1]!YBPRICE($A39,"0o",H$10,"Price","Swap",H$10,"Default","","",,"",,$B$7)/100*Portfolio!$B31</f>
        <v>6382.6699671000006</v>
      </c>
      <c r="I39" s="1" cm="1">
        <f t="array" ref="I39">[1]!YBPRICE($A39,"0o",I$10,"Price","Swap",I$10,"Default","","",,"",,$B$7)/100*Portfolio!$B31</f>
        <v>6043.8717884999996</v>
      </c>
      <c r="J39" s="1" cm="1">
        <f t="array" ref="J39">[1]!YBPRICE($A39,"0o",J$10,"Price","Swap",J$10,"Default","","",,"",,$B$7)/100*Portfolio!$B31</f>
        <v>4807.3940688000002</v>
      </c>
      <c r="K39" s="1" cm="1">
        <f t="array" ref="K39">[1]!YBPRICE($A39,"0o",K$10,"Price","Swap",K$10,"Default","","",,"",,$B$7)/100*Portfolio!$B31</f>
        <v>3292.1752983000001</v>
      </c>
      <c r="L39" s="1" cm="1">
        <f t="array" ref="L39">[1]!YBPRICE($A39,"0o",L$10,"Price","Swap",L$10,"Default","","",,"",,$B$7)/100*Portfolio!$B31</f>
        <v>2078.9738195999998</v>
      </c>
    </row>
    <row r="40" spans="1:12" x14ac:dyDescent="0.2">
      <c r="A40" s="1" t="str">
        <f>'Part 1 - Portfolio'!A34</f>
        <v>YBP_SWAP30</v>
      </c>
      <c r="B40" s="1" cm="1">
        <f t="array" ref="B40">[1]!YBPRICE($A40,"0o",B$10,"Price","Swap",B$10,"Default","","",,"",,$B$7)/100*Portfolio!$B32</f>
        <v>159988.70858880001</v>
      </c>
      <c r="C40" s="1" cm="1">
        <f t="array" ref="C40">[1]!YBPRICE($A40,"0o",C$10,"Price","Swap",C$10,"Default","","",,"",,$B$7)/100*Portfolio!$B32</f>
        <v>294507.84495860001</v>
      </c>
      <c r="D40" s="1" cm="1">
        <f t="array" ref="D40">[1]!YBPRICE($A40,"0o",D$10,"Price","Swap",D$10,"Default","","",,"",,$B$7)/100*Portfolio!$B32</f>
        <v>241708.47910299999</v>
      </c>
      <c r="E40" s="1" cm="1">
        <f t="array" ref="E40">[1]!YBPRICE($A40,"0o",E$10,"Price","Swap",E$10,"Default","","",,"",,$B$7)/100*Portfolio!$B32</f>
        <v>186584.96263679999</v>
      </c>
      <c r="F40" s="1" cm="1">
        <f t="array" ref="F40">[1]!YBPRICE($A40,"0o",F$10,"Price","Swap",F$10,"Default","","",,"",,$B$7)/100*Portfolio!$B32</f>
        <v>192688.06247600002</v>
      </c>
      <c r="G40" s="1" cm="1">
        <f t="array" ref="G40">[1]!YBPRICE($A40,"0o",G$10,"Price","Swap",G$10,"Default","","",,"",,$B$7)/100*Portfolio!$B32</f>
        <v>209351.12063319999</v>
      </c>
      <c r="H40" s="1" cm="1">
        <f t="array" ref="H40">[1]!YBPRICE($A40,"0o",H$10,"Price","Swap",H$10,"Default","","",,"",,$B$7)/100*Portfolio!$B32</f>
        <v>240916.81033419998</v>
      </c>
      <c r="I40" s="1" cm="1">
        <f t="array" ref="I40">[1]!YBPRICE($A40,"0o",I$10,"Price","Swap",I$10,"Default","","",,"",,$B$7)/100*Portfolio!$B32</f>
        <v>137509.00880079999</v>
      </c>
      <c r="J40" s="1" cm="1">
        <f t="array" ref="J40">[1]!YBPRICE($A40,"0o",J$10,"Price","Swap",J$10,"Default","","",,"",,$B$7)/100*Portfolio!$B32</f>
        <v>93036.720595000006</v>
      </c>
      <c r="K40" s="1" cm="1">
        <f t="array" ref="K40">[1]!YBPRICE($A40,"0o",K$10,"Price","Swap",K$10,"Default","","",,"",,$B$7)/100*Portfolio!$B32</f>
        <v>97363.565735800003</v>
      </c>
      <c r="L40" s="1" cm="1">
        <f t="array" ref="L40">[1]!YBPRICE($A40,"0o",L$10,"Price","Swap",L$10,"Default","","",,"",,$B$7)/100*Portfolio!$B32</f>
        <v>81186.064705199999</v>
      </c>
    </row>
    <row r="41" spans="1:12" x14ac:dyDescent="0.2">
      <c r="B41" s="13">
        <f>SUM(B11:B40)</f>
        <v>-1735340.9830987994</v>
      </c>
      <c r="C41" s="13">
        <f t="shared" ref="C41:L41" si="0">SUM(C11:C40)</f>
        <v>-1489075.1242541</v>
      </c>
      <c r="D41" s="13">
        <f t="shared" si="0"/>
        <v>-1701778.2645225998</v>
      </c>
      <c r="E41" s="13">
        <f t="shared" si="0"/>
        <v>-2062857.8453381001</v>
      </c>
      <c r="F41" s="13">
        <f t="shared" si="0"/>
        <v>-1996401.7981886</v>
      </c>
      <c r="G41" s="13">
        <f t="shared" si="0"/>
        <v>-1986700.9281546988</v>
      </c>
      <c r="H41" s="13">
        <f t="shared" si="0"/>
        <v>-1853170.3814735995</v>
      </c>
      <c r="I41" s="13">
        <f t="shared" si="0"/>
        <v>-2266689.7787029995</v>
      </c>
      <c r="J41" s="13">
        <f t="shared" si="0"/>
        <v>-2236484.3749815016</v>
      </c>
      <c r="K41" s="13">
        <f t="shared" si="0"/>
        <v>-2217042.3637240999</v>
      </c>
      <c r="L41" s="13">
        <f t="shared" si="0"/>
        <v>-2302890.404945699</v>
      </c>
    </row>
    <row r="43" spans="1:12" s="12" customFormat="1" x14ac:dyDescent="0.2"/>
    <row r="45" spans="1:12" x14ac:dyDescent="0.2">
      <c r="A45" s="24" t="s">
        <v>130</v>
      </c>
      <c r="B45" s="24"/>
      <c r="C45" s="24"/>
      <c r="D45" s="24"/>
      <c r="E45" s="3"/>
      <c r="F45" s="3"/>
      <c r="G45" s="3"/>
      <c r="H45" s="3"/>
      <c r="I45" s="3"/>
      <c r="J45" s="3"/>
      <c r="K45" s="3"/>
      <c r="L45" s="3"/>
    </row>
    <row r="46" spans="1:12" x14ac:dyDescent="0.2">
      <c r="A46" s="16" t="s">
        <v>128</v>
      </c>
      <c r="B46" s="16" t="s">
        <v>13</v>
      </c>
      <c r="C46" s="16" t="s">
        <v>154</v>
      </c>
      <c r="D46" s="16" t="s">
        <v>153</v>
      </c>
      <c r="E46" s="14"/>
      <c r="F46" s="14"/>
      <c r="G46" s="14"/>
      <c r="H46" s="14"/>
      <c r="I46" s="14"/>
      <c r="J46" s="14"/>
      <c r="K46" s="14"/>
      <c r="L46" s="14"/>
    </row>
    <row r="47" spans="1:12" x14ac:dyDescent="0.2">
      <c r="A47" s="26">
        <v>45688</v>
      </c>
      <c r="B47" s="26" t="str">
        <f>'Part 2 - Hedges'!C9</f>
        <v>YBP_BOND1_5</v>
      </c>
      <c r="C47" s="1">
        <f>'Part 2 - Hedges'!D9</f>
        <v>2089856.9000000001</v>
      </c>
      <c r="D47" s="1" cm="1">
        <f t="array" ref="D47">[1]!YBPRICE($B47,"0o",$A47,"Price","Swap",$A47,"Default","","",,"",,$B$7)/100*1000000000</f>
        <v>3985157.2000000007</v>
      </c>
    </row>
    <row r="48" spans="1:12" x14ac:dyDescent="0.2">
      <c r="A48" s="26">
        <v>45716</v>
      </c>
      <c r="B48" s="26" t="str">
        <f>'Part 2 - Hedges'!C10</f>
        <v>YBP_BOND2_6</v>
      </c>
      <c r="C48" s="1">
        <f>'Part 2 - Hedges'!D10</f>
        <v>1687202.2000000002</v>
      </c>
      <c r="D48" s="1" cm="1">
        <f t="array" ref="D48">[1]!YBPRICE($B48,"0o",$A48,"Price","Swap",$A48,"Default","","",,"",,$B$7)/100*1000000000</f>
        <v>2913105.9</v>
      </c>
    </row>
    <row r="49" spans="1:4" x14ac:dyDescent="0.2">
      <c r="A49" s="26">
        <v>45747</v>
      </c>
      <c r="B49" s="26" t="str">
        <f>'Part 2 - Hedges'!C11</f>
        <v>YBP_BOND3_5</v>
      </c>
      <c r="C49" s="1">
        <f>'Part 2 - Hedges'!D11</f>
        <v>1783305.1</v>
      </c>
      <c r="D49" s="1" cm="1">
        <f t="array" ref="D49">[1]!YBPRICE($B49,"0o",$A49,"Price","Swap",$A49,"Default","","",,"",,$B$7)/100*1000000000</f>
        <v>2644687.7999999998</v>
      </c>
    </row>
    <row r="50" spans="1:4" x14ac:dyDescent="0.2">
      <c r="A50" s="26">
        <v>45777</v>
      </c>
      <c r="B50" s="26" t="str">
        <f>'Part 2 - Hedges'!C12</f>
        <v>YBP_BOND4_5</v>
      </c>
      <c r="C50" s="1">
        <f>'Part 2 - Hedges'!D12</f>
        <v>1840437.4000000001</v>
      </c>
      <c r="D50" s="1" cm="1">
        <f t="array" ref="D50">[1]!YBPRICE($B50,"0o",$A50,"Price","Swap",$A50,"Default","","",,"",,$B$7)/100*1000000000</f>
        <v>1426104.0999999999</v>
      </c>
    </row>
    <row r="51" spans="1:4" x14ac:dyDescent="0.2">
      <c r="A51" s="26">
        <v>45807</v>
      </c>
      <c r="B51" s="26" t="str">
        <f>'Part 2 - Hedges'!C13</f>
        <v>YBP_BOND5_5</v>
      </c>
      <c r="C51" s="1">
        <f>'Part 2 - Hedges'!D13</f>
        <v>2177936.2999999998</v>
      </c>
      <c r="D51" s="1" cm="1">
        <f t="array" ref="D51">[1]!YBPRICE($B51,"0o",$A51,"Price","Swap",$A51,"Default","","",,"",,$B$7)/100*1000000000</f>
        <v>3258188.8</v>
      </c>
    </row>
    <row r="52" spans="1:4" x14ac:dyDescent="0.2">
      <c r="A52" s="26">
        <v>45838</v>
      </c>
      <c r="B52" s="26" t="str">
        <f>'Part 2 - Hedges'!C14</f>
        <v>YBP_BOND6_5</v>
      </c>
      <c r="C52" s="1">
        <f>'Part 2 - Hedges'!D14</f>
        <v>1927525.8</v>
      </c>
      <c r="D52" s="1" cm="1">
        <f t="array" ref="D52">[1]!YBPRICE($B52,"0o",$A52,"Price","Swap",$A52,"Default","","",,"",,$B$7)/100*1000000000</f>
        <v>2121695.5</v>
      </c>
    </row>
    <row r="53" spans="1:4" x14ac:dyDescent="0.2">
      <c r="A53" s="26">
        <v>45869</v>
      </c>
      <c r="B53" s="26" t="str">
        <f>'Part 2 - Hedges'!C15</f>
        <v>YBP_BOND7_5</v>
      </c>
      <c r="C53" s="1">
        <f>'Part 2 - Hedges'!D15</f>
        <v>2101351</v>
      </c>
      <c r="D53" s="1" cm="1">
        <f t="array" ref="D53">[1]!YBPRICE($B53,"0o",$A53,"Price","Swap",$A53,"Default","","",,"",,$B$7)/100*1000000000</f>
        <v>3417612.7</v>
      </c>
    </row>
    <row r="54" spans="1:4" x14ac:dyDescent="0.2">
      <c r="A54" s="26">
        <v>45898</v>
      </c>
      <c r="B54" s="26" t="str">
        <f>'Part 2 - Hedges'!C16</f>
        <v>YBP_BOND8_5</v>
      </c>
      <c r="C54" s="1">
        <f>'Part 2 - Hedges'!D16</f>
        <v>2143127.8000000003</v>
      </c>
      <c r="D54" s="1" cm="1">
        <f t="array" ref="D54">[1]!YBPRICE($B54,"0o",$A54,"Price","Swap",$A54,"Default","","",,"",,$B$7)/100*1000000000</f>
        <v>1872316.3</v>
      </c>
    </row>
    <row r="55" spans="1:4" x14ac:dyDescent="0.2">
      <c r="A55" s="26">
        <v>45930</v>
      </c>
      <c r="B55" s="26" t="str">
        <f>'Part 2 - Hedges'!C17</f>
        <v>YBP_BOND9_5</v>
      </c>
      <c r="C55" s="1">
        <f>'Part 2 - Hedges'!D17</f>
        <v>1906881.3</v>
      </c>
      <c r="D55" s="1" cm="1">
        <f t="array" ref="D55">[1]!YBPRICE($B55,"0o",$A55,"Price","Swap",$A55,"Default","","",,"",,$B$7)/100*1000000000</f>
        <v>1212527.8</v>
      </c>
    </row>
    <row r="56" spans="1:4" x14ac:dyDescent="0.2">
      <c r="A56" s="26">
        <v>45961</v>
      </c>
      <c r="B56" s="26" t="str">
        <f>'Part 2 - Hedges'!C18</f>
        <v>YBP_BOND10_5</v>
      </c>
      <c r="C56" s="1">
        <f>'Part 2 - Hedges'!D18</f>
        <v>1912780.7999999998</v>
      </c>
      <c r="D56" s="1" cm="1">
        <f t="array" ref="D56">[1]!YBPRICE($B56,"0o",$A56,"Price","Swap",$A56,"Default","","",,"",,$B$7)/100*1000000000</f>
        <v>1270784.7999999998</v>
      </c>
    </row>
    <row r="57" spans="1:4" x14ac:dyDescent="0.2">
      <c r="A57" s="26">
        <v>45989</v>
      </c>
      <c r="B57" s="26" t="str">
        <f>'Part 2 - Hedges'!C19</f>
        <v>YBP_BOND11_5</v>
      </c>
      <c r="C57" s="1">
        <f>'Part 2 - Hedges'!D19</f>
        <v>1899907.9999999998</v>
      </c>
      <c r="D57" s="1" cm="1">
        <f t="array" ref="D57">[1]!YBPRICE($B57,"0o",$A57,"Price","Swap",$A57,"Default","","",,"",,$B$7)/100*1000000000</f>
        <v>753501.3</v>
      </c>
    </row>
  </sheetData>
  <mergeCells count="2">
    <mergeCell ref="A9:L9"/>
    <mergeCell ref="A45:D45"/>
  </mergeCells>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FA298-DCDF-433F-B0AB-C2764AB91B37}">
  <dimension ref="A1:L25"/>
  <sheetViews>
    <sheetView workbookViewId="0">
      <selection activeCell="A13" sqref="A13"/>
    </sheetView>
  </sheetViews>
  <sheetFormatPr baseColWidth="10" defaultColWidth="15.1640625" defaultRowHeight="15" x14ac:dyDescent="0.2"/>
  <cols>
    <col min="1" max="1" width="26.5" customWidth="1"/>
  </cols>
  <sheetData>
    <row r="1" spans="1:12" x14ac:dyDescent="0.2">
      <c r="A1" t="s">
        <v>126</v>
      </c>
    </row>
    <row r="2" spans="1:12" x14ac:dyDescent="0.2">
      <c r="A2" t="s">
        <v>127</v>
      </c>
    </row>
    <row r="4" spans="1:12" x14ac:dyDescent="0.2">
      <c r="A4" s="17" t="s">
        <v>128</v>
      </c>
      <c r="B4" s="17">
        <v>45688</v>
      </c>
      <c r="C4" s="17">
        <v>45716</v>
      </c>
      <c r="D4" s="17">
        <v>45747</v>
      </c>
      <c r="E4" s="17">
        <v>45777</v>
      </c>
      <c r="F4" s="17">
        <v>45807</v>
      </c>
      <c r="G4" s="17">
        <v>45838</v>
      </c>
      <c r="H4" s="17">
        <v>45869</v>
      </c>
      <c r="I4" s="17">
        <v>45898</v>
      </c>
      <c r="J4" s="17">
        <v>45930</v>
      </c>
      <c r="K4" s="17">
        <v>45961</v>
      </c>
      <c r="L4" s="17">
        <v>45989</v>
      </c>
    </row>
    <row r="5" spans="1:12" x14ac:dyDescent="0.2">
      <c r="A5" s="1" t="s">
        <v>131</v>
      </c>
      <c r="B5" s="9">
        <f>'Part 1 - Portfolio'!B70</f>
        <v>-2089856.9128782975</v>
      </c>
      <c r="C5" s="9">
        <f>'Part 1 - Portfolio'!C70</f>
        <v>-1687202.1988288993</v>
      </c>
      <c r="D5" s="9">
        <f>'Part 1 - Portfolio'!D70</f>
        <v>-1783305.0805688002</v>
      </c>
      <c r="E5" s="9">
        <f>'Part 1 - Portfolio'!E70</f>
        <v>-1840437.4273503996</v>
      </c>
      <c r="F5" s="9">
        <f>'Part 1 - Portfolio'!F70</f>
        <v>-2177936.3599381996</v>
      </c>
      <c r="G5" s="9">
        <f>'Part 1 - Portfolio'!G70</f>
        <v>-1927525.7662691004</v>
      </c>
      <c r="H5" s="9">
        <f>'Part 1 - Portfolio'!H70</f>
        <v>-2101351.0021334998</v>
      </c>
      <c r="I5" s="9">
        <f>'Part 1 - Portfolio'!I70</f>
        <v>-2143127.7606938994</v>
      </c>
      <c r="J5" s="9">
        <f>'Part 1 - Portfolio'!J70</f>
        <v>-1906881.3467700006</v>
      </c>
      <c r="K5" s="9">
        <f>'Part 1 - Portfolio'!K70</f>
        <v>-1912780.7743467994</v>
      </c>
      <c r="L5" s="9">
        <f>'Part 1 - Portfolio'!L70</f>
        <v>-1899908.059146299</v>
      </c>
    </row>
    <row r="6" spans="1:12" x14ac:dyDescent="0.2">
      <c r="A6" s="1" t="s">
        <v>132</v>
      </c>
      <c r="B6" s="1">
        <f>'Part 3 - Shocks'!B41</f>
        <v>-1735340.9830987994</v>
      </c>
      <c r="C6" s="1">
        <f>'Part 3 - Shocks'!C41</f>
        <v>-1489075.1242541</v>
      </c>
      <c r="D6" s="1">
        <f>'Part 3 - Shocks'!D41</f>
        <v>-1701778.2645225998</v>
      </c>
      <c r="E6" s="1">
        <f>'Part 3 - Shocks'!E41</f>
        <v>-2062857.8453381001</v>
      </c>
      <c r="F6" s="1">
        <f>'Part 3 - Shocks'!F41</f>
        <v>-1996401.7981886</v>
      </c>
      <c r="G6" s="1">
        <f>'Part 3 - Shocks'!G41</f>
        <v>-1986700.9281546988</v>
      </c>
      <c r="H6" s="1">
        <f>'Part 3 - Shocks'!H41</f>
        <v>-1853170.3814735995</v>
      </c>
      <c r="I6" s="1">
        <f>'Part 3 - Shocks'!I41</f>
        <v>-2266689.7787029995</v>
      </c>
      <c r="J6" s="1">
        <f>'Part 3 - Shocks'!J41</f>
        <v>-2236484.3749815016</v>
      </c>
      <c r="K6" s="1">
        <f>'Part 3 - Shocks'!K41</f>
        <v>-2217042.3637240999</v>
      </c>
      <c r="L6" s="1">
        <f>'Part 3 - Shocks'!L41</f>
        <v>-2302890.404945699</v>
      </c>
    </row>
    <row r="7" spans="1:12" x14ac:dyDescent="0.2">
      <c r="A7" s="1" t="s">
        <v>134</v>
      </c>
      <c r="B7" s="1">
        <f>'Part 2 - Hedges'!B5</f>
        <v>2089856.9128782975</v>
      </c>
      <c r="C7" s="1">
        <f>'Part 2 - Hedges'!C5</f>
        <v>1687202.1988288993</v>
      </c>
      <c r="D7" s="1">
        <f>'Part 2 - Hedges'!D5</f>
        <v>1783305.0805688002</v>
      </c>
      <c r="E7" s="1">
        <f>'Part 2 - Hedges'!E5</f>
        <v>1840437.4273503996</v>
      </c>
      <c r="F7" s="1">
        <f>'Part 2 - Hedges'!F5</f>
        <v>2177936.3599381996</v>
      </c>
      <c r="G7" s="1">
        <f>'Part 2 - Hedges'!G5</f>
        <v>1927525.7662691004</v>
      </c>
      <c r="H7" s="1">
        <f>'Part 2 - Hedges'!H5</f>
        <v>2101351.0021334998</v>
      </c>
      <c r="I7" s="1">
        <f>'Part 2 - Hedges'!I5</f>
        <v>2143127.7606938994</v>
      </c>
      <c r="J7" s="1">
        <f>'Part 2 - Hedges'!J5</f>
        <v>1906881.3467700006</v>
      </c>
      <c r="K7" s="1">
        <f>'Part 2 - Hedges'!K5</f>
        <v>1912780.7743467994</v>
      </c>
      <c r="L7" s="1">
        <f>'Part 2 - Hedges'!L5</f>
        <v>1899908.059146299</v>
      </c>
    </row>
    <row r="8" spans="1:12" x14ac:dyDescent="0.2">
      <c r="A8" s="1" t="s">
        <v>133</v>
      </c>
      <c r="B8" s="1">
        <v>3985157.2000000007</v>
      </c>
      <c r="C8" s="1">
        <v>2913105.9</v>
      </c>
      <c r="D8" s="1">
        <v>2644687.7999999998</v>
      </c>
      <c r="E8" s="1">
        <v>1426104.0999999999</v>
      </c>
      <c r="F8" s="1">
        <v>3258188.8</v>
      </c>
      <c r="G8" s="1">
        <v>2121695.5</v>
      </c>
      <c r="H8" s="1">
        <v>3417612.7</v>
      </c>
      <c r="I8" s="1">
        <v>1872316.3</v>
      </c>
      <c r="J8" s="1">
        <v>1212527.8</v>
      </c>
      <c r="K8" s="1">
        <v>1270784.7999999998</v>
      </c>
      <c r="L8" s="1">
        <v>753501.3</v>
      </c>
    </row>
    <row r="25" spans="2:2" x14ac:dyDescent="0.2">
      <c r="B25" s="1"/>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226CE-872A-4222-801F-3DDA1E4C1613}">
  <dimension ref="A2:A12"/>
  <sheetViews>
    <sheetView showGridLines="0" workbookViewId="0">
      <selection activeCell="A17" sqref="A17"/>
    </sheetView>
  </sheetViews>
  <sheetFormatPr baseColWidth="10" defaultColWidth="8.83203125" defaultRowHeight="15" x14ac:dyDescent="0.2"/>
  <cols>
    <col min="1" max="1" width="93.83203125" customWidth="1"/>
  </cols>
  <sheetData>
    <row r="2" spans="1:1" s="31" customFormat="1" x14ac:dyDescent="0.2">
      <c r="A2" s="30" t="s">
        <v>124</v>
      </c>
    </row>
    <row r="4" spans="1:1" ht="265" customHeight="1" x14ac:dyDescent="0.2">
      <c r="A4" s="10" t="s">
        <v>156</v>
      </c>
    </row>
    <row r="7" spans="1:1" s="23" customFormat="1" x14ac:dyDescent="0.2"/>
    <row r="9" spans="1:1" s="31" customFormat="1" x14ac:dyDescent="0.2">
      <c r="A9" s="30" t="s">
        <v>125</v>
      </c>
    </row>
    <row r="11" spans="1:1" ht="335" customHeight="1" x14ac:dyDescent="0.2">
      <c r="A11" s="10" t="s">
        <v>157</v>
      </c>
    </row>
    <row r="12" spans="1:1" x14ac:dyDescent="0.2">
      <c r="A12" s="1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Portfolio</vt:lpstr>
      <vt:lpstr>Userbonds</vt:lpstr>
      <vt:lpstr>Part 1 - Portfolio</vt:lpstr>
      <vt:lpstr>Part 2 - Hedges</vt:lpstr>
      <vt:lpstr>Part 3 - Shocks</vt:lpstr>
      <vt:lpstr>Part 4 - Revalued</vt:lpstr>
      <vt:lpstr>Part 5 -Questions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Joel Sims</dc:creator>
  <cp:lastModifiedBy>Duhita Newalkar</cp:lastModifiedBy>
  <dcterms:created xsi:type="dcterms:W3CDTF">2025-11-14T22:00:33Z</dcterms:created>
  <dcterms:modified xsi:type="dcterms:W3CDTF">2025-12-13T03:08:43Z</dcterms:modified>
</cp:coreProperties>
</file>